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PR - ALERTA EPIDEMIOLOGICA\Seguimiento diario\"/>
    </mc:Choice>
  </mc:AlternateContent>
  <xr:revisionPtr revIDLastSave="0" documentId="13_ncr:1_{BF126806-E592-4C4B-9E43-72E78B6650FF}" xr6:coauthVersionLast="47" xr6:coauthVersionMax="47" xr10:uidLastSave="{00000000-0000-0000-0000-000000000000}"/>
  <bookViews>
    <workbookView xWindow="-110" yWindow="-110" windowWidth="19420" windowHeight="10300" firstSheet="6" activeTab="8" xr2:uid="{4D060288-93A9-4759-8CFE-26D921B8B6EC}"/>
  </bookViews>
  <sheets>
    <sheet name="18-05-2026" sheetId="1" r:id="rId1"/>
    <sheet name="18 MAY" sheetId="2" r:id="rId2"/>
    <sheet name="19 MAY" sheetId="3" r:id="rId3"/>
    <sheet name="20 MAY" sheetId="4" r:id="rId4"/>
    <sheet name="21 MAY" sheetId="5" r:id="rId5"/>
    <sheet name="21 MAY (COMPrativo)" sheetId="6" r:id="rId6"/>
    <sheet name="25 MAY" sheetId="7" r:id="rId7"/>
    <sheet name="25 MAY (COMPARATIVO)" sheetId="8" r:id="rId8"/>
    <sheet name="26 MAY" sheetId="9" r:id="rId9"/>
    <sheet name="26 MAY (COMPARATIVO)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6" i="10" l="1"/>
  <c r="O36" i="10"/>
  <c r="N36" i="10"/>
  <c r="K36" i="10"/>
  <c r="H36" i="10"/>
  <c r="E36" i="10"/>
  <c r="B36" i="10"/>
  <c r="P35" i="10"/>
  <c r="O35" i="10"/>
  <c r="L35" i="10"/>
  <c r="L36" i="10" s="1"/>
  <c r="M36" i="10" s="1"/>
  <c r="I35" i="10"/>
  <c r="I36" i="10" s="1"/>
  <c r="J36" i="10" s="1"/>
  <c r="F35" i="10"/>
  <c r="G35" i="10" s="1"/>
  <c r="C35" i="10"/>
  <c r="C36" i="10" s="1"/>
  <c r="D36" i="10" s="1"/>
  <c r="P33" i="10"/>
  <c r="M33" i="10"/>
  <c r="J33" i="10"/>
  <c r="G33" i="10"/>
  <c r="D33" i="10"/>
  <c r="P32" i="10"/>
  <c r="M32" i="10"/>
  <c r="J32" i="10"/>
  <c r="G32" i="10"/>
  <c r="D32" i="10"/>
  <c r="P31" i="10"/>
  <c r="M31" i="10"/>
  <c r="J31" i="10"/>
  <c r="G31" i="10"/>
  <c r="D31" i="10"/>
  <c r="P30" i="10"/>
  <c r="M30" i="10"/>
  <c r="J30" i="10"/>
  <c r="G30" i="10"/>
  <c r="D30" i="10"/>
  <c r="P29" i="10"/>
  <c r="M29" i="10"/>
  <c r="J29" i="10"/>
  <c r="G29" i="10"/>
  <c r="D29" i="10"/>
  <c r="P28" i="10"/>
  <c r="M28" i="10"/>
  <c r="J28" i="10"/>
  <c r="G28" i="10"/>
  <c r="D28" i="10"/>
  <c r="P27" i="10"/>
  <c r="M27" i="10"/>
  <c r="J27" i="10"/>
  <c r="G27" i="10"/>
  <c r="D27" i="10"/>
  <c r="W18" i="10"/>
  <c r="X18" i="10" s="1"/>
  <c r="V18" i="10"/>
  <c r="K18" i="10"/>
  <c r="I18" i="10"/>
  <c r="J18" i="10" s="1"/>
  <c r="G18" i="10"/>
  <c r="H18" i="10" s="1"/>
  <c r="E18" i="10"/>
  <c r="F18" i="10" s="1"/>
  <c r="C18" i="10"/>
  <c r="D18" i="10" s="1"/>
  <c r="B18" i="10"/>
  <c r="Y17" i="10"/>
  <c r="Y18" i="10" s="1"/>
  <c r="Z18" i="10" s="1"/>
  <c r="X17" i="10"/>
  <c r="W17" i="10"/>
  <c r="T17" i="10"/>
  <c r="U17" i="10" s="1"/>
  <c r="R17" i="10"/>
  <c r="S17" i="10" s="1"/>
  <c r="P17" i="10"/>
  <c r="Q17" i="10" s="1"/>
  <c r="N17" i="10"/>
  <c r="N18" i="10" s="1"/>
  <c r="O18" i="10" s="1"/>
  <c r="L17" i="10"/>
  <c r="M17" i="10" s="1"/>
  <c r="J17" i="10"/>
  <c r="I17" i="10"/>
  <c r="G17" i="10"/>
  <c r="H17" i="10" s="1"/>
  <c r="E17" i="10"/>
  <c r="F17" i="10" s="1"/>
  <c r="C17" i="10"/>
  <c r="D17" i="10" s="1"/>
  <c r="Z16" i="10"/>
  <c r="X16" i="10"/>
  <c r="U16" i="10"/>
  <c r="S16" i="10"/>
  <c r="Q16" i="10"/>
  <c r="O16" i="10"/>
  <c r="M16" i="10"/>
  <c r="J16" i="10"/>
  <c r="H16" i="10"/>
  <c r="F16" i="10"/>
  <c r="D16" i="10"/>
  <c r="Z15" i="10"/>
  <c r="X15" i="10"/>
  <c r="U15" i="10"/>
  <c r="S15" i="10"/>
  <c r="Q15" i="10"/>
  <c r="O15" i="10"/>
  <c r="M15" i="10"/>
  <c r="J15" i="10"/>
  <c r="H15" i="10"/>
  <c r="F15" i="10"/>
  <c r="D15" i="10"/>
  <c r="Z14" i="10"/>
  <c r="X14" i="10"/>
  <c r="U14" i="10"/>
  <c r="S14" i="10"/>
  <c r="Q14" i="10"/>
  <c r="O14" i="10"/>
  <c r="M14" i="10"/>
  <c r="J14" i="10"/>
  <c r="H14" i="10"/>
  <c r="F14" i="10"/>
  <c r="D14" i="10"/>
  <c r="Z13" i="10"/>
  <c r="X13" i="10"/>
  <c r="U13" i="10"/>
  <c r="S13" i="10"/>
  <c r="Q13" i="10"/>
  <c r="O13" i="10"/>
  <c r="M13" i="10"/>
  <c r="J13" i="10"/>
  <c r="H13" i="10"/>
  <c r="F13" i="10"/>
  <c r="D13" i="10"/>
  <c r="Z12" i="10"/>
  <c r="X12" i="10"/>
  <c r="U12" i="10"/>
  <c r="S12" i="10"/>
  <c r="Q12" i="10"/>
  <c r="O12" i="10"/>
  <c r="M12" i="10"/>
  <c r="J12" i="10"/>
  <c r="H12" i="10"/>
  <c r="F12" i="10"/>
  <c r="D12" i="10"/>
  <c r="Z11" i="10"/>
  <c r="X11" i="10"/>
  <c r="U11" i="10"/>
  <c r="S11" i="10"/>
  <c r="Q11" i="10"/>
  <c r="O11" i="10"/>
  <c r="M11" i="10"/>
  <c r="J11" i="10"/>
  <c r="H11" i="10"/>
  <c r="F11" i="10"/>
  <c r="D11" i="10"/>
  <c r="Z10" i="10"/>
  <c r="X10" i="10"/>
  <c r="U10" i="10"/>
  <c r="S10" i="10"/>
  <c r="Q10" i="10"/>
  <c r="O10" i="10"/>
  <c r="M10" i="10"/>
  <c r="J10" i="10"/>
  <c r="H10" i="10"/>
  <c r="F10" i="10"/>
  <c r="D10" i="10"/>
  <c r="D28" i="9"/>
  <c r="N36" i="9"/>
  <c r="K36" i="9"/>
  <c r="H36" i="9"/>
  <c r="E36" i="9"/>
  <c r="B36" i="9"/>
  <c r="O35" i="9"/>
  <c r="O36" i="9" s="1"/>
  <c r="P36" i="9" s="1"/>
  <c r="L35" i="9"/>
  <c r="M35" i="9" s="1"/>
  <c r="I35" i="9"/>
  <c r="I36" i="9" s="1"/>
  <c r="J36" i="9" s="1"/>
  <c r="F35" i="9"/>
  <c r="G35" i="9" s="1"/>
  <c r="C35" i="9"/>
  <c r="C36" i="9" s="1"/>
  <c r="D36" i="9" s="1"/>
  <c r="P33" i="9"/>
  <c r="M33" i="9"/>
  <c r="J33" i="9"/>
  <c r="G33" i="9"/>
  <c r="D33" i="9"/>
  <c r="P32" i="9"/>
  <c r="M32" i="9"/>
  <c r="J32" i="9"/>
  <c r="G32" i="9"/>
  <c r="D32" i="9"/>
  <c r="P31" i="9"/>
  <c r="M31" i="9"/>
  <c r="J31" i="9"/>
  <c r="G31" i="9"/>
  <c r="D31" i="9"/>
  <c r="P30" i="9"/>
  <c r="M30" i="9"/>
  <c r="J30" i="9"/>
  <c r="G30" i="9"/>
  <c r="D30" i="9"/>
  <c r="P29" i="9"/>
  <c r="M29" i="9"/>
  <c r="J29" i="9"/>
  <c r="G29" i="9"/>
  <c r="D29" i="9"/>
  <c r="P28" i="9"/>
  <c r="M28" i="9"/>
  <c r="J28" i="9"/>
  <c r="G28" i="9"/>
  <c r="P27" i="9"/>
  <c r="M27" i="9"/>
  <c r="J27" i="9"/>
  <c r="G27" i="9"/>
  <c r="D27" i="9"/>
  <c r="V18" i="9"/>
  <c r="K18" i="9"/>
  <c r="E18" i="9"/>
  <c r="F18" i="9" s="1"/>
  <c r="B18" i="9"/>
  <c r="Y17" i="9"/>
  <c r="Y18" i="9" s="1"/>
  <c r="Z18" i="9" s="1"/>
  <c r="W17" i="9"/>
  <c r="W18" i="9" s="1"/>
  <c r="X18" i="9" s="1"/>
  <c r="T17" i="9"/>
  <c r="U17" i="9" s="1"/>
  <c r="R17" i="9"/>
  <c r="S17" i="9" s="1"/>
  <c r="P17" i="9"/>
  <c r="P18" i="9" s="1"/>
  <c r="Q18" i="9" s="1"/>
  <c r="N17" i="9"/>
  <c r="O17" i="9" s="1"/>
  <c r="L17" i="9"/>
  <c r="L18" i="9" s="1"/>
  <c r="M18" i="9" s="1"/>
  <c r="I17" i="9"/>
  <c r="J17" i="9" s="1"/>
  <c r="G17" i="9"/>
  <c r="H17" i="9" s="1"/>
  <c r="E17" i="9"/>
  <c r="F17" i="9" s="1"/>
  <c r="C17" i="9"/>
  <c r="D17" i="9" s="1"/>
  <c r="Z16" i="9"/>
  <c r="X16" i="9"/>
  <c r="U16" i="9"/>
  <c r="S16" i="9"/>
  <c r="Q16" i="9"/>
  <c r="O16" i="9"/>
  <c r="M16" i="9"/>
  <c r="J16" i="9"/>
  <c r="H16" i="9"/>
  <c r="F16" i="9"/>
  <c r="D16" i="9"/>
  <c r="Z15" i="9"/>
  <c r="X15" i="9"/>
  <c r="U15" i="9"/>
  <c r="S15" i="9"/>
  <c r="Q15" i="9"/>
  <c r="O15" i="9"/>
  <c r="M15" i="9"/>
  <c r="J15" i="9"/>
  <c r="H15" i="9"/>
  <c r="F15" i="9"/>
  <c r="D15" i="9"/>
  <c r="Z14" i="9"/>
  <c r="X14" i="9"/>
  <c r="U14" i="9"/>
  <c r="S14" i="9"/>
  <c r="Q14" i="9"/>
  <c r="O14" i="9"/>
  <c r="M14" i="9"/>
  <c r="J14" i="9"/>
  <c r="H14" i="9"/>
  <c r="F14" i="9"/>
  <c r="D14" i="9"/>
  <c r="Z13" i="9"/>
  <c r="X13" i="9"/>
  <c r="U13" i="9"/>
  <c r="S13" i="9"/>
  <c r="Q13" i="9"/>
  <c r="O13" i="9"/>
  <c r="M13" i="9"/>
  <c r="J13" i="9"/>
  <c r="H13" i="9"/>
  <c r="F13" i="9"/>
  <c r="D13" i="9"/>
  <c r="Z12" i="9"/>
  <c r="X12" i="9"/>
  <c r="U12" i="9"/>
  <c r="S12" i="9"/>
  <c r="Q12" i="9"/>
  <c r="O12" i="9"/>
  <c r="M12" i="9"/>
  <c r="J12" i="9"/>
  <c r="H12" i="9"/>
  <c r="F12" i="9"/>
  <c r="D12" i="9"/>
  <c r="Z11" i="9"/>
  <c r="X11" i="9"/>
  <c r="U11" i="9"/>
  <c r="S11" i="9"/>
  <c r="Q11" i="9"/>
  <c r="O11" i="9"/>
  <c r="M11" i="9"/>
  <c r="J11" i="9"/>
  <c r="H11" i="9"/>
  <c r="F11" i="9"/>
  <c r="D11" i="9"/>
  <c r="Z10" i="9"/>
  <c r="X10" i="9"/>
  <c r="U10" i="9"/>
  <c r="S10" i="9"/>
  <c r="Q10" i="9"/>
  <c r="O10" i="9"/>
  <c r="M10" i="9"/>
  <c r="J10" i="9"/>
  <c r="H10" i="9"/>
  <c r="F10" i="9"/>
  <c r="D10" i="9"/>
  <c r="N36" i="8"/>
  <c r="K36" i="8"/>
  <c r="H36" i="8"/>
  <c r="E36" i="8"/>
  <c r="B36" i="8"/>
  <c r="O35" i="8"/>
  <c r="P35" i="8" s="1"/>
  <c r="L35" i="8"/>
  <c r="M35" i="8" s="1"/>
  <c r="I35" i="8"/>
  <c r="I36" i="8" s="1"/>
  <c r="J36" i="8" s="1"/>
  <c r="F35" i="8"/>
  <c r="G35" i="8" s="1"/>
  <c r="C35" i="8"/>
  <c r="D35" i="8" s="1"/>
  <c r="P33" i="8"/>
  <c r="M33" i="8"/>
  <c r="J33" i="8"/>
  <c r="G33" i="8"/>
  <c r="D33" i="8"/>
  <c r="P32" i="8"/>
  <c r="M32" i="8"/>
  <c r="J32" i="8"/>
  <c r="G32" i="8"/>
  <c r="D32" i="8"/>
  <c r="P31" i="8"/>
  <c r="M31" i="8"/>
  <c r="J31" i="8"/>
  <c r="G31" i="8"/>
  <c r="D31" i="8"/>
  <c r="P30" i="8"/>
  <c r="M30" i="8"/>
  <c r="J30" i="8"/>
  <c r="G30" i="8"/>
  <c r="D30" i="8"/>
  <c r="P29" i="8"/>
  <c r="M29" i="8"/>
  <c r="J29" i="8"/>
  <c r="G29" i="8"/>
  <c r="D29" i="8"/>
  <c r="P28" i="8"/>
  <c r="M28" i="8"/>
  <c r="J28" i="8"/>
  <c r="G28" i="8"/>
  <c r="D28" i="8"/>
  <c r="P27" i="8"/>
  <c r="M27" i="8"/>
  <c r="J27" i="8"/>
  <c r="G27" i="8"/>
  <c r="D27" i="8"/>
  <c r="V18" i="8"/>
  <c r="K18" i="8"/>
  <c r="B18" i="8"/>
  <c r="Y17" i="8"/>
  <c r="Y18" i="8" s="1"/>
  <c r="Z18" i="8" s="1"/>
  <c r="W17" i="8"/>
  <c r="W18" i="8" s="1"/>
  <c r="X18" i="8" s="1"/>
  <c r="T17" i="8"/>
  <c r="U17" i="8" s="1"/>
  <c r="R17" i="8"/>
  <c r="S17" i="8" s="1"/>
  <c r="P17" i="8"/>
  <c r="Q17" i="8" s="1"/>
  <c r="N17" i="8"/>
  <c r="O17" i="8" s="1"/>
  <c r="L17" i="8"/>
  <c r="M17" i="8" s="1"/>
  <c r="I17" i="8"/>
  <c r="I18" i="8" s="1"/>
  <c r="J18" i="8" s="1"/>
  <c r="G17" i="8"/>
  <c r="H17" i="8" s="1"/>
  <c r="E17" i="8"/>
  <c r="F17" i="8" s="1"/>
  <c r="C17" i="8"/>
  <c r="D17" i="8" s="1"/>
  <c r="Z16" i="8"/>
  <c r="X16" i="8"/>
  <c r="U16" i="8"/>
  <c r="S16" i="8"/>
  <c r="Q16" i="8"/>
  <c r="O16" i="8"/>
  <c r="M16" i="8"/>
  <c r="J16" i="8"/>
  <c r="H16" i="8"/>
  <c r="F16" i="8"/>
  <c r="D16" i="8"/>
  <c r="Z15" i="8"/>
  <c r="X15" i="8"/>
  <c r="U15" i="8"/>
  <c r="S15" i="8"/>
  <c r="Q15" i="8"/>
  <c r="O15" i="8"/>
  <c r="M15" i="8"/>
  <c r="J15" i="8"/>
  <c r="H15" i="8"/>
  <c r="F15" i="8"/>
  <c r="D15" i="8"/>
  <c r="Z14" i="8"/>
  <c r="X14" i="8"/>
  <c r="U14" i="8"/>
  <c r="S14" i="8"/>
  <c r="Q14" i="8"/>
  <c r="O14" i="8"/>
  <c r="M14" i="8"/>
  <c r="J14" i="8"/>
  <c r="H14" i="8"/>
  <c r="F14" i="8"/>
  <c r="D14" i="8"/>
  <c r="Z13" i="8"/>
  <c r="X13" i="8"/>
  <c r="U13" i="8"/>
  <c r="S13" i="8"/>
  <c r="Q13" i="8"/>
  <c r="O13" i="8"/>
  <c r="M13" i="8"/>
  <c r="J13" i="8"/>
  <c r="H13" i="8"/>
  <c r="F13" i="8"/>
  <c r="D13" i="8"/>
  <c r="Z12" i="8"/>
  <c r="X12" i="8"/>
  <c r="U12" i="8"/>
  <c r="S12" i="8"/>
  <c r="Q12" i="8"/>
  <c r="O12" i="8"/>
  <c r="M12" i="8"/>
  <c r="J12" i="8"/>
  <c r="H12" i="8"/>
  <c r="F12" i="8"/>
  <c r="D12" i="8"/>
  <c r="Z11" i="8"/>
  <c r="X11" i="8"/>
  <c r="U11" i="8"/>
  <c r="S11" i="8"/>
  <c r="Q11" i="8"/>
  <c r="O11" i="8"/>
  <c r="M11" i="8"/>
  <c r="J11" i="8"/>
  <c r="H11" i="8"/>
  <c r="F11" i="8"/>
  <c r="D11" i="8"/>
  <c r="Z10" i="8"/>
  <c r="X10" i="8"/>
  <c r="U10" i="8"/>
  <c r="S10" i="8"/>
  <c r="Q10" i="8"/>
  <c r="O10" i="8"/>
  <c r="M10" i="8"/>
  <c r="J10" i="8"/>
  <c r="H10" i="8"/>
  <c r="F10" i="8"/>
  <c r="D10" i="8"/>
  <c r="O17" i="10" l="1"/>
  <c r="D35" i="10"/>
  <c r="P18" i="10"/>
  <c r="Q18" i="10" s="1"/>
  <c r="F36" i="10"/>
  <c r="G36" i="10" s="1"/>
  <c r="R18" i="10"/>
  <c r="S18" i="10" s="1"/>
  <c r="J35" i="10"/>
  <c r="T18" i="10"/>
  <c r="U18" i="10" s="1"/>
  <c r="M35" i="10"/>
  <c r="L18" i="10"/>
  <c r="M18" i="10" s="1"/>
  <c r="Z17" i="10"/>
  <c r="Z17" i="9"/>
  <c r="M17" i="9"/>
  <c r="I18" i="9"/>
  <c r="J18" i="9" s="1"/>
  <c r="C18" i="9"/>
  <c r="D18" i="9" s="1"/>
  <c r="G18" i="9"/>
  <c r="H18" i="9" s="1"/>
  <c r="N18" i="9"/>
  <c r="O18" i="9" s="1"/>
  <c r="Q17" i="9"/>
  <c r="R18" i="9"/>
  <c r="S18" i="9" s="1"/>
  <c r="J35" i="9"/>
  <c r="T18" i="9"/>
  <c r="U18" i="9" s="1"/>
  <c r="L36" i="9"/>
  <c r="M36" i="9" s="1"/>
  <c r="D35" i="9"/>
  <c r="F36" i="9"/>
  <c r="G36" i="9" s="1"/>
  <c r="X17" i="9"/>
  <c r="P35" i="9"/>
  <c r="G18" i="8"/>
  <c r="H18" i="8" s="1"/>
  <c r="C18" i="8"/>
  <c r="D18" i="8" s="1"/>
  <c r="E18" i="8"/>
  <c r="F18" i="8" s="1"/>
  <c r="C36" i="8"/>
  <c r="D36" i="8" s="1"/>
  <c r="L36" i="8"/>
  <c r="M36" i="8" s="1"/>
  <c r="J17" i="8"/>
  <c r="X17" i="8"/>
  <c r="L18" i="8"/>
  <c r="M18" i="8" s="1"/>
  <c r="Z17" i="8"/>
  <c r="O36" i="8"/>
  <c r="P36" i="8" s="1"/>
  <c r="N18" i="8"/>
  <c r="O18" i="8" s="1"/>
  <c r="P18" i="8"/>
  <c r="Q18" i="8" s="1"/>
  <c r="F36" i="8"/>
  <c r="G36" i="8" s="1"/>
  <c r="R18" i="8"/>
  <c r="S18" i="8" s="1"/>
  <c r="J35" i="8"/>
  <c r="T18" i="8"/>
  <c r="U18" i="8" s="1"/>
  <c r="N36" i="7"/>
  <c r="K36" i="7"/>
  <c r="H36" i="7"/>
  <c r="E36" i="7"/>
  <c r="B36" i="7"/>
  <c r="O35" i="7"/>
  <c r="O36" i="7" s="1"/>
  <c r="P36" i="7" s="1"/>
  <c r="L35" i="7"/>
  <c r="M35" i="7" s="1"/>
  <c r="I35" i="7"/>
  <c r="J35" i="7" s="1"/>
  <c r="F35" i="7"/>
  <c r="G35" i="7" s="1"/>
  <c r="C35" i="7"/>
  <c r="C36" i="7" s="1"/>
  <c r="D36" i="7" s="1"/>
  <c r="P33" i="7"/>
  <c r="M33" i="7"/>
  <c r="J33" i="7"/>
  <c r="G33" i="7"/>
  <c r="D33" i="7"/>
  <c r="P32" i="7"/>
  <c r="M32" i="7"/>
  <c r="J32" i="7"/>
  <c r="G32" i="7"/>
  <c r="D32" i="7"/>
  <c r="P31" i="7"/>
  <c r="M31" i="7"/>
  <c r="J31" i="7"/>
  <c r="G31" i="7"/>
  <c r="D31" i="7"/>
  <c r="P30" i="7"/>
  <c r="M30" i="7"/>
  <c r="J30" i="7"/>
  <c r="G30" i="7"/>
  <c r="D30" i="7"/>
  <c r="P29" i="7"/>
  <c r="M29" i="7"/>
  <c r="J29" i="7"/>
  <c r="G29" i="7"/>
  <c r="D29" i="7"/>
  <c r="P28" i="7"/>
  <c r="M28" i="7"/>
  <c r="J28" i="7"/>
  <c r="G28" i="7"/>
  <c r="D28" i="7"/>
  <c r="P27" i="7"/>
  <c r="M27" i="7"/>
  <c r="J27" i="7"/>
  <c r="G27" i="7"/>
  <c r="D27" i="7"/>
  <c r="V18" i="7"/>
  <c r="K18" i="7"/>
  <c r="B18" i="7"/>
  <c r="Y17" i="7"/>
  <c r="Y18" i="7" s="1"/>
  <c r="Z18" i="7" s="1"/>
  <c r="W17" i="7"/>
  <c r="W18" i="7" s="1"/>
  <c r="X18" i="7" s="1"/>
  <c r="T17" i="7"/>
  <c r="U17" i="7" s="1"/>
  <c r="R17" i="7"/>
  <c r="S17" i="7" s="1"/>
  <c r="P17" i="7"/>
  <c r="Q17" i="7" s="1"/>
  <c r="N17" i="7"/>
  <c r="N18" i="7" s="1"/>
  <c r="O18" i="7" s="1"/>
  <c r="L17" i="7"/>
  <c r="M17" i="7" s="1"/>
  <c r="I17" i="7"/>
  <c r="J17" i="7" s="1"/>
  <c r="G17" i="7"/>
  <c r="H17" i="7" s="1"/>
  <c r="E17" i="7"/>
  <c r="F17" i="7" s="1"/>
  <c r="C17" i="7"/>
  <c r="D17" i="7" s="1"/>
  <c r="Z16" i="7"/>
  <c r="X16" i="7"/>
  <c r="U16" i="7"/>
  <c r="S16" i="7"/>
  <c r="Q16" i="7"/>
  <c r="O16" i="7"/>
  <c r="M16" i="7"/>
  <c r="J16" i="7"/>
  <c r="H16" i="7"/>
  <c r="F16" i="7"/>
  <c r="D16" i="7"/>
  <c r="Z15" i="7"/>
  <c r="X15" i="7"/>
  <c r="U15" i="7"/>
  <c r="S15" i="7"/>
  <c r="Q15" i="7"/>
  <c r="O15" i="7"/>
  <c r="M15" i="7"/>
  <c r="J15" i="7"/>
  <c r="H15" i="7"/>
  <c r="F15" i="7"/>
  <c r="D15" i="7"/>
  <c r="Z14" i="7"/>
  <c r="X14" i="7"/>
  <c r="U14" i="7"/>
  <c r="S14" i="7"/>
  <c r="Q14" i="7"/>
  <c r="O14" i="7"/>
  <c r="M14" i="7"/>
  <c r="J14" i="7"/>
  <c r="H14" i="7"/>
  <c r="F14" i="7"/>
  <c r="D14" i="7"/>
  <c r="Z13" i="7"/>
  <c r="X13" i="7"/>
  <c r="U13" i="7"/>
  <c r="S13" i="7"/>
  <c r="Q13" i="7"/>
  <c r="O13" i="7"/>
  <c r="M13" i="7"/>
  <c r="J13" i="7"/>
  <c r="H13" i="7"/>
  <c r="F13" i="7"/>
  <c r="D13" i="7"/>
  <c r="Z12" i="7"/>
  <c r="X12" i="7"/>
  <c r="U12" i="7"/>
  <c r="S12" i="7"/>
  <c r="Q12" i="7"/>
  <c r="O12" i="7"/>
  <c r="M12" i="7"/>
  <c r="J12" i="7"/>
  <c r="H12" i="7"/>
  <c r="F12" i="7"/>
  <c r="D12" i="7"/>
  <c r="Z11" i="7"/>
  <c r="X11" i="7"/>
  <c r="U11" i="7"/>
  <c r="S11" i="7"/>
  <c r="Q11" i="7"/>
  <c r="O11" i="7"/>
  <c r="M11" i="7"/>
  <c r="J11" i="7"/>
  <c r="H11" i="7"/>
  <c r="F11" i="7"/>
  <c r="D11" i="7"/>
  <c r="Z10" i="7"/>
  <c r="X10" i="7"/>
  <c r="U10" i="7"/>
  <c r="S10" i="7"/>
  <c r="Q10" i="7"/>
  <c r="O10" i="7"/>
  <c r="M10" i="7"/>
  <c r="J10" i="7"/>
  <c r="H10" i="7"/>
  <c r="F10" i="7"/>
  <c r="D10" i="7"/>
  <c r="Z19" i="6"/>
  <c r="Z20" i="6"/>
  <c r="Z21" i="6"/>
  <c r="X19" i="6"/>
  <c r="X20" i="6"/>
  <c r="X21" i="6"/>
  <c r="J19" i="6"/>
  <c r="J20" i="6"/>
  <c r="J21" i="6"/>
  <c r="H19" i="6"/>
  <c r="H20" i="6"/>
  <c r="H21" i="6"/>
  <c r="F19" i="6"/>
  <c r="F20" i="6"/>
  <c r="F21" i="6"/>
  <c r="D19" i="6"/>
  <c r="D20" i="6"/>
  <c r="D21" i="6"/>
  <c r="F36" i="7" l="1"/>
  <c r="G36" i="7" s="1"/>
  <c r="D35" i="7"/>
  <c r="O17" i="7"/>
  <c r="C18" i="7"/>
  <c r="D18" i="7" s="1"/>
  <c r="E18" i="7"/>
  <c r="G18" i="7"/>
  <c r="I18" i="7"/>
  <c r="F18" i="7"/>
  <c r="H18" i="7"/>
  <c r="J18" i="7"/>
  <c r="P18" i="7"/>
  <c r="Q18" i="7" s="1"/>
  <c r="R18" i="7"/>
  <c r="S18" i="7" s="1"/>
  <c r="I36" i="7"/>
  <c r="J36" i="7" s="1"/>
  <c r="L36" i="7"/>
  <c r="M36" i="7" s="1"/>
  <c r="X17" i="7"/>
  <c r="L18" i="7"/>
  <c r="M18" i="7" s="1"/>
  <c r="T18" i="7"/>
  <c r="U18" i="7" s="1"/>
  <c r="P35" i="7"/>
  <c r="Z17" i="7"/>
  <c r="N37" i="6"/>
  <c r="K37" i="6"/>
  <c r="H37" i="6"/>
  <c r="E37" i="6"/>
  <c r="C37" i="6"/>
  <c r="B37" i="6"/>
  <c r="O36" i="6"/>
  <c r="O37" i="6" s="1"/>
  <c r="L36" i="6"/>
  <c r="M36" i="6" s="1"/>
  <c r="I36" i="6"/>
  <c r="J36" i="6" s="1"/>
  <c r="G36" i="6"/>
  <c r="F36" i="6"/>
  <c r="F37" i="6" s="1"/>
  <c r="C36" i="6"/>
  <c r="D36" i="6" s="1"/>
  <c r="P34" i="6"/>
  <c r="M34" i="6"/>
  <c r="J34" i="6"/>
  <c r="G34" i="6"/>
  <c r="D34" i="6"/>
  <c r="P33" i="6"/>
  <c r="M33" i="6"/>
  <c r="J33" i="6"/>
  <c r="G33" i="6"/>
  <c r="D33" i="6"/>
  <c r="P32" i="6"/>
  <c r="M32" i="6"/>
  <c r="J32" i="6"/>
  <c r="G32" i="6"/>
  <c r="D32" i="6"/>
  <c r="P31" i="6"/>
  <c r="M31" i="6"/>
  <c r="J31" i="6"/>
  <c r="G31" i="6"/>
  <c r="D31" i="6"/>
  <c r="P30" i="6"/>
  <c r="M30" i="6"/>
  <c r="J30" i="6"/>
  <c r="G30" i="6"/>
  <c r="D30" i="6"/>
  <c r="P29" i="6"/>
  <c r="M29" i="6"/>
  <c r="J29" i="6"/>
  <c r="G29" i="6"/>
  <c r="D29" i="6"/>
  <c r="P28" i="6"/>
  <c r="M28" i="6"/>
  <c r="J28" i="6"/>
  <c r="G28" i="6"/>
  <c r="D28" i="6"/>
  <c r="V18" i="6"/>
  <c r="K18" i="6"/>
  <c r="I18" i="6"/>
  <c r="G18" i="6"/>
  <c r="B18" i="6"/>
  <c r="Y17" i="6"/>
  <c r="Z17" i="6" s="1"/>
  <c r="W17" i="6"/>
  <c r="X17" i="6" s="1"/>
  <c r="I17" i="6"/>
  <c r="J17" i="6" s="1"/>
  <c r="G17" i="6"/>
  <c r="H17" i="6" s="1"/>
  <c r="E17" i="6"/>
  <c r="E18" i="6" s="1"/>
  <c r="C17" i="6"/>
  <c r="D17" i="6" s="1"/>
  <c r="Z16" i="6"/>
  <c r="X16" i="6"/>
  <c r="U16" i="6"/>
  <c r="S16" i="6"/>
  <c r="Q16" i="6"/>
  <c r="O16" i="6"/>
  <c r="M16" i="6"/>
  <c r="J16" i="6"/>
  <c r="H16" i="6"/>
  <c r="F16" i="6"/>
  <c r="D16" i="6"/>
  <c r="Z15" i="6"/>
  <c r="X15" i="6"/>
  <c r="U15" i="6"/>
  <c r="S15" i="6"/>
  <c r="Q15" i="6"/>
  <c r="O15" i="6"/>
  <c r="M15" i="6"/>
  <c r="J15" i="6"/>
  <c r="H15" i="6"/>
  <c r="F15" i="6"/>
  <c r="D15" i="6"/>
  <c r="Z14" i="6"/>
  <c r="X14" i="6"/>
  <c r="U14" i="6"/>
  <c r="S14" i="6"/>
  <c r="Q14" i="6"/>
  <c r="O14" i="6"/>
  <c r="M14" i="6"/>
  <c r="J14" i="6"/>
  <c r="H14" i="6"/>
  <c r="F14" i="6"/>
  <c r="D14" i="6"/>
  <c r="Z13" i="6"/>
  <c r="X13" i="6"/>
  <c r="U13" i="6"/>
  <c r="S13" i="6"/>
  <c r="Q13" i="6"/>
  <c r="O13" i="6"/>
  <c r="M13" i="6"/>
  <c r="J13" i="6"/>
  <c r="H13" i="6"/>
  <c r="F13" i="6"/>
  <c r="D13" i="6"/>
  <c r="Z12" i="6"/>
  <c r="X12" i="6"/>
  <c r="U12" i="6"/>
  <c r="S12" i="6"/>
  <c r="Q12" i="6"/>
  <c r="O12" i="6"/>
  <c r="M12" i="6"/>
  <c r="J12" i="6"/>
  <c r="H12" i="6"/>
  <c r="F12" i="6"/>
  <c r="D12" i="6"/>
  <c r="Z11" i="6"/>
  <c r="X11" i="6"/>
  <c r="U11" i="6"/>
  <c r="S11" i="6"/>
  <c r="Q11" i="6"/>
  <c r="O11" i="6"/>
  <c r="M11" i="6"/>
  <c r="J11" i="6"/>
  <c r="H11" i="6"/>
  <c r="F11" i="6"/>
  <c r="D11" i="6"/>
  <c r="Z10" i="6"/>
  <c r="X10" i="6"/>
  <c r="U10" i="6"/>
  <c r="S10" i="6"/>
  <c r="Q10" i="6"/>
  <c r="O10" i="6"/>
  <c r="M10" i="6"/>
  <c r="J10" i="6"/>
  <c r="H10" i="6"/>
  <c r="F10" i="6"/>
  <c r="D10" i="6"/>
  <c r="N36" i="5"/>
  <c r="K36" i="5"/>
  <c r="H36" i="5"/>
  <c r="E36" i="5"/>
  <c r="B36" i="5"/>
  <c r="O35" i="5"/>
  <c r="P35" i="5" s="1"/>
  <c r="L35" i="5"/>
  <c r="L36" i="5" s="1"/>
  <c r="M36" i="5" s="1"/>
  <c r="I35" i="5"/>
  <c r="J35" i="5" s="1"/>
  <c r="F35" i="5"/>
  <c r="G35" i="5" s="1"/>
  <c r="C35" i="5"/>
  <c r="D35" i="5" s="1"/>
  <c r="P33" i="5"/>
  <c r="M33" i="5"/>
  <c r="J33" i="5"/>
  <c r="G33" i="5"/>
  <c r="D33" i="5"/>
  <c r="P32" i="5"/>
  <c r="M32" i="5"/>
  <c r="J32" i="5"/>
  <c r="G32" i="5"/>
  <c r="D32" i="5"/>
  <c r="P31" i="5"/>
  <c r="M31" i="5"/>
  <c r="J31" i="5"/>
  <c r="G31" i="5"/>
  <c r="D31" i="5"/>
  <c r="P30" i="5"/>
  <c r="M30" i="5"/>
  <c r="J30" i="5"/>
  <c r="G30" i="5"/>
  <c r="D30" i="5"/>
  <c r="P29" i="5"/>
  <c r="M29" i="5"/>
  <c r="J29" i="5"/>
  <c r="G29" i="5"/>
  <c r="D29" i="5"/>
  <c r="P28" i="5"/>
  <c r="M28" i="5"/>
  <c r="J28" i="5"/>
  <c r="G28" i="5"/>
  <c r="D28" i="5"/>
  <c r="P27" i="5"/>
  <c r="M27" i="5"/>
  <c r="J27" i="5"/>
  <c r="G27" i="5"/>
  <c r="D27" i="5"/>
  <c r="V18" i="5"/>
  <c r="K18" i="5"/>
  <c r="B18" i="5"/>
  <c r="Y17" i="5"/>
  <c r="Z17" i="5" s="1"/>
  <c r="W17" i="5"/>
  <c r="W18" i="5" s="1"/>
  <c r="X18" i="5" s="1"/>
  <c r="T17" i="5"/>
  <c r="U17" i="5" s="1"/>
  <c r="R17" i="5"/>
  <c r="S17" i="5" s="1"/>
  <c r="P17" i="5"/>
  <c r="Q17" i="5" s="1"/>
  <c r="N17" i="5"/>
  <c r="N18" i="5" s="1"/>
  <c r="O18" i="5" s="1"/>
  <c r="L17" i="5"/>
  <c r="M17" i="5" s="1"/>
  <c r="I17" i="5"/>
  <c r="I18" i="5" s="1"/>
  <c r="J18" i="5" s="1"/>
  <c r="G17" i="5"/>
  <c r="H17" i="5" s="1"/>
  <c r="E17" i="5"/>
  <c r="F17" i="5" s="1"/>
  <c r="C17" i="5"/>
  <c r="D17" i="5" s="1"/>
  <c r="Z16" i="5"/>
  <c r="X16" i="5"/>
  <c r="U16" i="5"/>
  <c r="S16" i="5"/>
  <c r="Q16" i="5"/>
  <c r="O16" i="5"/>
  <c r="M16" i="5"/>
  <c r="J16" i="5"/>
  <c r="H16" i="5"/>
  <c r="F16" i="5"/>
  <c r="D16" i="5"/>
  <c r="Z15" i="5"/>
  <c r="X15" i="5"/>
  <c r="U15" i="5"/>
  <c r="S15" i="5"/>
  <c r="Q15" i="5"/>
  <c r="O15" i="5"/>
  <c r="M15" i="5"/>
  <c r="J15" i="5"/>
  <c r="H15" i="5"/>
  <c r="F15" i="5"/>
  <c r="D15" i="5"/>
  <c r="Z14" i="5"/>
  <c r="X14" i="5"/>
  <c r="U14" i="5"/>
  <c r="S14" i="5"/>
  <c r="Q14" i="5"/>
  <c r="O14" i="5"/>
  <c r="M14" i="5"/>
  <c r="J14" i="5"/>
  <c r="H14" i="5"/>
  <c r="F14" i="5"/>
  <c r="D14" i="5"/>
  <c r="Z13" i="5"/>
  <c r="X13" i="5"/>
  <c r="U13" i="5"/>
  <c r="S13" i="5"/>
  <c r="Q13" i="5"/>
  <c r="O13" i="5"/>
  <c r="M13" i="5"/>
  <c r="J13" i="5"/>
  <c r="H13" i="5"/>
  <c r="F13" i="5"/>
  <c r="D13" i="5"/>
  <c r="Z12" i="5"/>
  <c r="X12" i="5"/>
  <c r="U12" i="5"/>
  <c r="S12" i="5"/>
  <c r="Q12" i="5"/>
  <c r="O12" i="5"/>
  <c r="M12" i="5"/>
  <c r="J12" i="5"/>
  <c r="H12" i="5"/>
  <c r="F12" i="5"/>
  <c r="D12" i="5"/>
  <c r="Z11" i="5"/>
  <c r="X11" i="5"/>
  <c r="U11" i="5"/>
  <c r="S11" i="5"/>
  <c r="Q11" i="5"/>
  <c r="O11" i="5"/>
  <c r="M11" i="5"/>
  <c r="J11" i="5"/>
  <c r="H11" i="5"/>
  <c r="F11" i="5"/>
  <c r="D11" i="5"/>
  <c r="Z10" i="5"/>
  <c r="X10" i="5"/>
  <c r="U10" i="5"/>
  <c r="S10" i="5"/>
  <c r="Q10" i="5"/>
  <c r="O10" i="5"/>
  <c r="M10" i="5"/>
  <c r="J10" i="5"/>
  <c r="H10" i="5"/>
  <c r="F10" i="5"/>
  <c r="D10" i="5"/>
  <c r="O35" i="4"/>
  <c r="O36" i="4" s="1"/>
  <c r="P36" i="4" s="1"/>
  <c r="L35" i="4"/>
  <c r="L36" i="4" s="1"/>
  <c r="M36" i="4" s="1"/>
  <c r="I35" i="4"/>
  <c r="J35" i="4" s="1"/>
  <c r="F35" i="4"/>
  <c r="G35" i="4" s="1"/>
  <c r="C35" i="4"/>
  <c r="C36" i="4" s="1"/>
  <c r="D36" i="4" s="1"/>
  <c r="Y17" i="4"/>
  <c r="W17" i="4"/>
  <c r="X17" i="4" s="1"/>
  <c r="T17" i="4"/>
  <c r="T18" i="4" s="1"/>
  <c r="U18" i="4" s="1"/>
  <c r="R17" i="4"/>
  <c r="R18" i="4" s="1"/>
  <c r="S18" i="4" s="1"/>
  <c r="P17" i="4"/>
  <c r="P18" i="4" s="1"/>
  <c r="Q18" i="4" s="1"/>
  <c r="N17" i="4"/>
  <c r="O17" i="4" s="1"/>
  <c r="L17" i="4"/>
  <c r="L18" i="4" s="1"/>
  <c r="M18" i="4" s="1"/>
  <c r="I17" i="4"/>
  <c r="I18" i="4" s="1"/>
  <c r="J18" i="4" s="1"/>
  <c r="G17" i="4"/>
  <c r="E17" i="4"/>
  <c r="C17" i="4"/>
  <c r="N36" i="4"/>
  <c r="K36" i="4"/>
  <c r="I36" i="4"/>
  <c r="J36" i="4" s="1"/>
  <c r="H36" i="4"/>
  <c r="F36" i="4"/>
  <c r="G36" i="4" s="1"/>
  <c r="E36" i="4"/>
  <c r="B36" i="4"/>
  <c r="P35" i="4"/>
  <c r="P33" i="4"/>
  <c r="M33" i="4"/>
  <c r="J33" i="4"/>
  <c r="G33" i="4"/>
  <c r="D33" i="4"/>
  <c r="P32" i="4"/>
  <c r="M32" i="4"/>
  <c r="J32" i="4"/>
  <c r="G32" i="4"/>
  <c r="D32" i="4"/>
  <c r="P31" i="4"/>
  <c r="M31" i="4"/>
  <c r="J31" i="4"/>
  <c r="G31" i="4"/>
  <c r="D31" i="4"/>
  <c r="P30" i="4"/>
  <c r="M30" i="4"/>
  <c r="J30" i="4"/>
  <c r="G30" i="4"/>
  <c r="D30" i="4"/>
  <c r="P29" i="4"/>
  <c r="M29" i="4"/>
  <c r="J29" i="4"/>
  <c r="G29" i="4"/>
  <c r="D29" i="4"/>
  <c r="P28" i="4"/>
  <c r="M28" i="4"/>
  <c r="J28" i="4"/>
  <c r="G28" i="4"/>
  <c r="D28" i="4"/>
  <c r="P27" i="4"/>
  <c r="M27" i="4"/>
  <c r="J27" i="4"/>
  <c r="G27" i="4"/>
  <c r="D27" i="4"/>
  <c r="Y18" i="4"/>
  <c r="Z18" i="4" s="1"/>
  <c r="W18" i="4"/>
  <c r="X18" i="4" s="1"/>
  <c r="V18" i="4"/>
  <c r="K18" i="4"/>
  <c r="G18" i="4"/>
  <c r="H18" i="4" s="1"/>
  <c r="E18" i="4"/>
  <c r="F18" i="4" s="1"/>
  <c r="C18" i="4"/>
  <c r="B18" i="4"/>
  <c r="Z17" i="4"/>
  <c r="H17" i="4"/>
  <c r="F17" i="4"/>
  <c r="D17" i="4"/>
  <c r="Z16" i="4"/>
  <c r="X16" i="4"/>
  <c r="U16" i="4"/>
  <c r="S16" i="4"/>
  <c r="Q16" i="4"/>
  <c r="O16" i="4"/>
  <c r="M16" i="4"/>
  <c r="J16" i="4"/>
  <c r="H16" i="4"/>
  <c r="F16" i="4"/>
  <c r="D16" i="4"/>
  <c r="Z15" i="4"/>
  <c r="X15" i="4"/>
  <c r="U15" i="4"/>
  <c r="S15" i="4"/>
  <c r="Q15" i="4"/>
  <c r="O15" i="4"/>
  <c r="M15" i="4"/>
  <c r="J15" i="4"/>
  <c r="H15" i="4"/>
  <c r="F15" i="4"/>
  <c r="D15" i="4"/>
  <c r="Z14" i="4"/>
  <c r="X14" i="4"/>
  <c r="U14" i="4"/>
  <c r="S14" i="4"/>
  <c r="Q14" i="4"/>
  <c r="O14" i="4"/>
  <c r="M14" i="4"/>
  <c r="J14" i="4"/>
  <c r="H14" i="4"/>
  <c r="F14" i="4"/>
  <c r="D14" i="4"/>
  <c r="Z13" i="4"/>
  <c r="X13" i="4"/>
  <c r="U13" i="4"/>
  <c r="S13" i="4"/>
  <c r="Q13" i="4"/>
  <c r="O13" i="4"/>
  <c r="M13" i="4"/>
  <c r="J13" i="4"/>
  <c r="H13" i="4"/>
  <c r="F13" i="4"/>
  <c r="D13" i="4"/>
  <c r="Z12" i="4"/>
  <c r="X12" i="4"/>
  <c r="U12" i="4"/>
  <c r="S12" i="4"/>
  <c r="Q12" i="4"/>
  <c r="O12" i="4"/>
  <c r="M12" i="4"/>
  <c r="J12" i="4"/>
  <c r="H12" i="4"/>
  <c r="F12" i="4"/>
  <c r="D12" i="4"/>
  <c r="Z11" i="4"/>
  <c r="X11" i="4"/>
  <c r="U11" i="4"/>
  <c r="S11" i="4"/>
  <c r="Q11" i="4"/>
  <c r="O11" i="4"/>
  <c r="M11" i="4"/>
  <c r="J11" i="4"/>
  <c r="H11" i="4"/>
  <c r="F11" i="4"/>
  <c r="D11" i="4"/>
  <c r="Z10" i="4"/>
  <c r="X10" i="4"/>
  <c r="U10" i="4"/>
  <c r="S10" i="4"/>
  <c r="Q10" i="4"/>
  <c r="O10" i="4"/>
  <c r="M10" i="4"/>
  <c r="J10" i="4"/>
  <c r="H10" i="4"/>
  <c r="F10" i="4"/>
  <c r="D10" i="4"/>
  <c r="S10" i="3"/>
  <c r="O36" i="3"/>
  <c r="P36" i="3" s="1"/>
  <c r="N36" i="3"/>
  <c r="L36" i="3"/>
  <c r="M36" i="3" s="1"/>
  <c r="K36" i="3"/>
  <c r="I36" i="3"/>
  <c r="J36" i="3" s="1"/>
  <c r="H36" i="3"/>
  <c r="F36" i="3"/>
  <c r="G36" i="3" s="1"/>
  <c r="E36" i="3"/>
  <c r="C36" i="3"/>
  <c r="D36" i="3" s="1"/>
  <c r="B36" i="3"/>
  <c r="P35" i="3"/>
  <c r="M35" i="3"/>
  <c r="J35" i="3"/>
  <c r="G35" i="3"/>
  <c r="D35" i="3"/>
  <c r="P33" i="3"/>
  <c r="M33" i="3"/>
  <c r="J33" i="3"/>
  <c r="G33" i="3"/>
  <c r="D33" i="3"/>
  <c r="P32" i="3"/>
  <c r="M32" i="3"/>
  <c r="J32" i="3"/>
  <c r="G32" i="3"/>
  <c r="D32" i="3"/>
  <c r="P31" i="3"/>
  <c r="M31" i="3"/>
  <c r="J31" i="3"/>
  <c r="G31" i="3"/>
  <c r="D31" i="3"/>
  <c r="P30" i="3"/>
  <c r="M30" i="3"/>
  <c r="J30" i="3"/>
  <c r="G30" i="3"/>
  <c r="D30" i="3"/>
  <c r="P29" i="3"/>
  <c r="M29" i="3"/>
  <c r="J29" i="3"/>
  <c r="G29" i="3"/>
  <c r="D29" i="3"/>
  <c r="P28" i="3"/>
  <c r="M28" i="3"/>
  <c r="J28" i="3"/>
  <c r="G28" i="3"/>
  <c r="D28" i="3"/>
  <c r="P27" i="3"/>
  <c r="M27" i="3"/>
  <c r="J27" i="3"/>
  <c r="G27" i="3"/>
  <c r="D27" i="3"/>
  <c r="W18" i="3"/>
  <c r="X18" i="3" s="1"/>
  <c r="V18" i="3"/>
  <c r="T18" i="3"/>
  <c r="U18" i="3" s="1"/>
  <c r="N18" i="3"/>
  <c r="O18" i="3" s="1"/>
  <c r="K18" i="3"/>
  <c r="I18" i="3"/>
  <c r="J18" i="3" s="1"/>
  <c r="G18" i="3"/>
  <c r="H18" i="3" s="1"/>
  <c r="E18" i="3"/>
  <c r="F18" i="3" s="1"/>
  <c r="B18" i="3"/>
  <c r="Y18" i="3"/>
  <c r="Z18" i="3" s="1"/>
  <c r="X17" i="3"/>
  <c r="U17" i="3"/>
  <c r="S17" i="3"/>
  <c r="Q17" i="3"/>
  <c r="O17" i="3"/>
  <c r="M17" i="3"/>
  <c r="J17" i="3"/>
  <c r="H17" i="3"/>
  <c r="F17" i="3"/>
  <c r="D17" i="3"/>
  <c r="Z16" i="3"/>
  <c r="X16" i="3"/>
  <c r="U16" i="3"/>
  <c r="S16" i="3"/>
  <c r="Q16" i="3"/>
  <c r="O16" i="3"/>
  <c r="M16" i="3"/>
  <c r="J16" i="3"/>
  <c r="H16" i="3"/>
  <c r="F16" i="3"/>
  <c r="D16" i="3"/>
  <c r="Z15" i="3"/>
  <c r="X15" i="3"/>
  <c r="U15" i="3"/>
  <c r="S15" i="3"/>
  <c r="Q15" i="3"/>
  <c r="O15" i="3"/>
  <c r="M15" i="3"/>
  <c r="J15" i="3"/>
  <c r="H15" i="3"/>
  <c r="F15" i="3"/>
  <c r="D15" i="3"/>
  <c r="Z14" i="3"/>
  <c r="X14" i="3"/>
  <c r="U14" i="3"/>
  <c r="S14" i="3"/>
  <c r="Q14" i="3"/>
  <c r="O14" i="3"/>
  <c r="M14" i="3"/>
  <c r="J14" i="3"/>
  <c r="H14" i="3"/>
  <c r="F14" i="3"/>
  <c r="D14" i="3"/>
  <c r="Z13" i="3"/>
  <c r="X13" i="3"/>
  <c r="U13" i="3"/>
  <c r="S13" i="3"/>
  <c r="Q13" i="3"/>
  <c r="O13" i="3"/>
  <c r="M13" i="3"/>
  <c r="J13" i="3"/>
  <c r="H13" i="3"/>
  <c r="F13" i="3"/>
  <c r="D13" i="3"/>
  <c r="Z12" i="3"/>
  <c r="X12" i="3"/>
  <c r="U12" i="3"/>
  <c r="S12" i="3"/>
  <c r="Q12" i="3"/>
  <c r="O12" i="3"/>
  <c r="M12" i="3"/>
  <c r="J12" i="3"/>
  <c r="H12" i="3"/>
  <c r="F12" i="3"/>
  <c r="D12" i="3"/>
  <c r="Z11" i="3"/>
  <c r="X11" i="3"/>
  <c r="U11" i="3"/>
  <c r="S11" i="3"/>
  <c r="Q11" i="3"/>
  <c r="O11" i="3"/>
  <c r="M11" i="3"/>
  <c r="J11" i="3"/>
  <c r="H11" i="3"/>
  <c r="F11" i="3"/>
  <c r="D11" i="3"/>
  <c r="Z10" i="3"/>
  <c r="X10" i="3"/>
  <c r="U10" i="3"/>
  <c r="Q10" i="3"/>
  <c r="O10" i="3"/>
  <c r="M10" i="3"/>
  <c r="J10" i="3"/>
  <c r="H10" i="3"/>
  <c r="F10" i="3"/>
  <c r="D10" i="3"/>
  <c r="P28" i="2"/>
  <c r="P29" i="2"/>
  <c r="P30" i="2"/>
  <c r="P31" i="2"/>
  <c r="P32" i="2"/>
  <c r="P33" i="2"/>
  <c r="M28" i="2"/>
  <c r="M29" i="2"/>
  <c r="M30" i="2"/>
  <c r="M31" i="2"/>
  <c r="M32" i="2"/>
  <c r="M33" i="2"/>
  <c r="J28" i="2"/>
  <c r="J29" i="2"/>
  <c r="J30" i="2"/>
  <c r="J31" i="2"/>
  <c r="J32" i="2"/>
  <c r="J33" i="2"/>
  <c r="J27" i="2"/>
  <c r="G28" i="2"/>
  <c r="G29" i="2"/>
  <c r="G30" i="2"/>
  <c r="G31" i="2"/>
  <c r="G32" i="2"/>
  <c r="G33" i="2"/>
  <c r="G27" i="2"/>
  <c r="P27" i="2"/>
  <c r="M27" i="2"/>
  <c r="D28" i="2"/>
  <c r="D29" i="2"/>
  <c r="D30" i="2"/>
  <c r="D31" i="2"/>
  <c r="D32" i="2"/>
  <c r="D33" i="2"/>
  <c r="D27" i="2"/>
  <c r="Z11" i="2"/>
  <c r="Z12" i="2"/>
  <c r="Z13" i="2"/>
  <c r="Z14" i="2"/>
  <c r="Z15" i="2"/>
  <c r="Z16" i="2"/>
  <c r="Z10" i="2"/>
  <c r="X11" i="2"/>
  <c r="X12" i="2"/>
  <c r="X13" i="2"/>
  <c r="X14" i="2"/>
  <c r="X15" i="2"/>
  <c r="X16" i="2"/>
  <c r="X10" i="2"/>
  <c r="U11" i="2"/>
  <c r="U12" i="2"/>
  <c r="U13" i="2"/>
  <c r="U14" i="2"/>
  <c r="U15" i="2"/>
  <c r="U16" i="2"/>
  <c r="U10" i="2"/>
  <c r="S11" i="2"/>
  <c r="S12" i="2"/>
  <c r="S13" i="2"/>
  <c r="S14" i="2"/>
  <c r="S15" i="2"/>
  <c r="S16" i="2"/>
  <c r="S10" i="2"/>
  <c r="Q11" i="2"/>
  <c r="Q12" i="2"/>
  <c r="Q13" i="2"/>
  <c r="Q14" i="2"/>
  <c r="Q15" i="2"/>
  <c r="Q16" i="2"/>
  <c r="Q10" i="2"/>
  <c r="O11" i="2"/>
  <c r="O12" i="2"/>
  <c r="O13" i="2"/>
  <c r="O14" i="2"/>
  <c r="O15" i="2"/>
  <c r="O16" i="2"/>
  <c r="O10" i="2"/>
  <c r="M11" i="2"/>
  <c r="M12" i="2"/>
  <c r="M13" i="2"/>
  <c r="M14" i="2"/>
  <c r="M15" i="2"/>
  <c r="M16" i="2"/>
  <c r="M10" i="2"/>
  <c r="J11" i="2"/>
  <c r="J12" i="2"/>
  <c r="J13" i="2"/>
  <c r="J14" i="2"/>
  <c r="J15" i="2"/>
  <c r="J16" i="2"/>
  <c r="J10" i="2"/>
  <c r="H11" i="2"/>
  <c r="H12" i="2"/>
  <c r="H13" i="2"/>
  <c r="H14" i="2"/>
  <c r="H15" i="2"/>
  <c r="H16" i="2"/>
  <c r="H10" i="2"/>
  <c r="F11" i="2"/>
  <c r="F12" i="2"/>
  <c r="F13" i="2"/>
  <c r="F14" i="2"/>
  <c r="F15" i="2"/>
  <c r="F16" i="2"/>
  <c r="F10" i="2"/>
  <c r="D11" i="2"/>
  <c r="D12" i="2"/>
  <c r="D13" i="2"/>
  <c r="D14" i="2"/>
  <c r="D15" i="2"/>
  <c r="D16" i="2"/>
  <c r="D10" i="2"/>
  <c r="N36" i="2"/>
  <c r="K36" i="2"/>
  <c r="H36" i="2"/>
  <c r="E36" i="2"/>
  <c r="B36" i="2"/>
  <c r="O35" i="2"/>
  <c r="P35" i="2" s="1"/>
  <c r="L35" i="2"/>
  <c r="L36" i="2" s="1"/>
  <c r="M36" i="2" s="1"/>
  <c r="I35" i="2"/>
  <c r="J35" i="2" s="1"/>
  <c r="F35" i="2"/>
  <c r="G35" i="2" s="1"/>
  <c r="C35" i="2"/>
  <c r="D35" i="2" s="1"/>
  <c r="V18" i="2"/>
  <c r="K18" i="2"/>
  <c r="B18" i="2"/>
  <c r="Y17" i="2"/>
  <c r="Y18" i="2" s="1"/>
  <c r="W17" i="2"/>
  <c r="W18" i="2" s="1"/>
  <c r="T17" i="2"/>
  <c r="U17" i="2" s="1"/>
  <c r="R17" i="2"/>
  <c r="S17" i="2" s="1"/>
  <c r="P17" i="2"/>
  <c r="Q17" i="2" s="1"/>
  <c r="N17" i="2"/>
  <c r="N18" i="2" s="1"/>
  <c r="O18" i="2" s="1"/>
  <c r="L17" i="2"/>
  <c r="M17" i="2" s="1"/>
  <c r="I17" i="2"/>
  <c r="J17" i="2" s="1"/>
  <c r="G17" i="2"/>
  <c r="H17" i="2" s="1"/>
  <c r="E17" i="2"/>
  <c r="F17" i="2" s="1"/>
  <c r="C17" i="2"/>
  <c r="D17" i="2" s="1"/>
  <c r="P37" i="6" l="1"/>
  <c r="D37" i="6"/>
  <c r="H18" i="6"/>
  <c r="J18" i="6"/>
  <c r="F18" i="6"/>
  <c r="G37" i="6"/>
  <c r="F17" i="6"/>
  <c r="I37" i="6"/>
  <c r="J37" i="6" s="1"/>
  <c r="L37" i="6"/>
  <c r="M37" i="6" s="1"/>
  <c r="W18" i="6"/>
  <c r="X18" i="6" s="1"/>
  <c r="Y18" i="6"/>
  <c r="Z18" i="6" s="1"/>
  <c r="C18" i="6"/>
  <c r="D18" i="6" s="1"/>
  <c r="P36" i="6"/>
  <c r="C36" i="5"/>
  <c r="D36" i="5" s="1"/>
  <c r="I36" i="5"/>
  <c r="J36" i="5" s="1"/>
  <c r="M35" i="5"/>
  <c r="O36" i="5"/>
  <c r="P36" i="5" s="1"/>
  <c r="X17" i="5"/>
  <c r="J17" i="5"/>
  <c r="C18" i="5"/>
  <c r="D18" i="5" s="1"/>
  <c r="F36" i="5"/>
  <c r="G36" i="5" s="1"/>
  <c r="E18" i="5"/>
  <c r="F18" i="5" s="1"/>
  <c r="R18" i="5"/>
  <c r="S18" i="5" s="1"/>
  <c r="G18" i="5"/>
  <c r="H18" i="5" s="1"/>
  <c r="T18" i="5"/>
  <c r="U18" i="5" s="1"/>
  <c r="P18" i="5"/>
  <c r="Q18" i="5" s="1"/>
  <c r="Y18" i="5"/>
  <c r="Z18" i="5" s="1"/>
  <c r="O17" i="5"/>
  <c r="L18" i="5"/>
  <c r="M18" i="5" s="1"/>
  <c r="M17" i="4"/>
  <c r="N18" i="4"/>
  <c r="O18" i="4" s="1"/>
  <c r="Q17" i="4"/>
  <c r="S17" i="4"/>
  <c r="U17" i="4"/>
  <c r="D35" i="4"/>
  <c r="M35" i="4"/>
  <c r="J17" i="4"/>
  <c r="D18" i="4"/>
  <c r="C18" i="3"/>
  <c r="D18" i="3" s="1"/>
  <c r="L18" i="3"/>
  <c r="M18" i="3" s="1"/>
  <c r="Z17" i="3"/>
  <c r="P18" i="3"/>
  <c r="Q18" i="3" s="1"/>
  <c r="R18" i="3"/>
  <c r="S18" i="3" s="1"/>
  <c r="X18" i="2"/>
  <c r="M35" i="2"/>
  <c r="Z18" i="2"/>
  <c r="C36" i="2"/>
  <c r="D36" i="2" s="1"/>
  <c r="Z17" i="2"/>
  <c r="G18" i="2"/>
  <c r="H18" i="2" s="1"/>
  <c r="O17" i="2"/>
  <c r="X17" i="2"/>
  <c r="F36" i="2"/>
  <c r="G36" i="2" s="1"/>
  <c r="I36" i="2"/>
  <c r="J36" i="2" s="1"/>
  <c r="O36" i="2"/>
  <c r="P36" i="2" s="1"/>
  <c r="C18" i="2"/>
  <c r="D18" i="2" s="1"/>
  <c r="E18" i="2"/>
  <c r="F18" i="2" s="1"/>
  <c r="I18" i="2"/>
  <c r="J18" i="2" s="1"/>
  <c r="P18" i="2"/>
  <c r="Q18" i="2" s="1"/>
  <c r="R18" i="2"/>
  <c r="S18" i="2" s="1"/>
  <c r="T18" i="2"/>
  <c r="U18" i="2" s="1"/>
  <c r="L18" i="2"/>
  <c r="M18" i="2" s="1"/>
  <c r="AD14" i="1" l="1"/>
  <c r="AF6" i="1"/>
  <c r="AF7" i="1"/>
  <c r="AF8" i="1"/>
  <c r="AF9" i="1"/>
  <c r="AF10" i="1"/>
  <c r="AF11" i="1"/>
  <c r="AF13" i="1"/>
  <c r="AF5" i="1"/>
  <c r="AI6" i="1"/>
  <c r="AI7" i="1"/>
  <c r="AI8" i="1"/>
  <c r="AI9" i="1"/>
  <c r="AI10" i="1"/>
  <c r="AI11" i="1"/>
  <c r="AI5" i="1"/>
  <c r="AG14" i="1"/>
  <c r="AM14" i="1"/>
  <c r="AJ14" i="1"/>
  <c r="AA14" i="1"/>
  <c r="V14" i="1"/>
  <c r="K14" i="1"/>
  <c r="E14" i="1"/>
  <c r="AN13" i="1"/>
  <c r="AN14" i="1" s="1"/>
  <c r="AK13" i="1"/>
  <c r="AK14" i="1" s="1"/>
  <c r="AH13" i="1"/>
  <c r="AH14" i="1" s="1"/>
  <c r="AE13" i="1"/>
  <c r="AE14" i="1" s="1"/>
  <c r="AF14" i="1" s="1"/>
  <c r="AB13" i="1"/>
  <c r="AB14" i="1" s="1"/>
  <c r="Y13" i="1"/>
  <c r="Z13" i="1" s="1"/>
  <c r="W13" i="1"/>
  <c r="X13" i="1" s="1"/>
  <c r="T13" i="1"/>
  <c r="T14" i="1" s="1"/>
  <c r="R13" i="1"/>
  <c r="R14" i="1" s="1"/>
  <c r="P13" i="1"/>
  <c r="P14" i="1" s="1"/>
  <c r="N13" i="1"/>
  <c r="N14" i="1" s="1"/>
  <c r="L13" i="1"/>
  <c r="L14" i="1" s="1"/>
  <c r="I13" i="1"/>
  <c r="I14" i="1" s="1"/>
  <c r="G13" i="1"/>
  <c r="H13" i="1" s="1"/>
  <c r="C13" i="1"/>
  <c r="C14" i="1" s="1"/>
  <c r="B14" i="1"/>
  <c r="E13" i="1"/>
  <c r="F13" i="1" s="1"/>
  <c r="AI14" i="1" l="1"/>
  <c r="AI13" i="1"/>
  <c r="AC13" i="1"/>
  <c r="W14" i="1"/>
  <c r="Y14" i="1"/>
  <c r="AO13" i="1"/>
  <c r="G14" i="1"/>
  <c r="J13" i="1"/>
  <c r="AL13" i="1"/>
  <c r="D13" i="1"/>
  <c r="M13" i="1"/>
  <c r="O13" i="1"/>
  <c r="Q13" i="1"/>
  <c r="S13" i="1"/>
  <c r="U13" i="1"/>
  <c r="D14" i="1"/>
  <c r="AC6" i="1" l="1"/>
  <c r="AC7" i="1"/>
  <c r="AC8" i="1"/>
  <c r="AC9" i="1"/>
  <c r="AC10" i="1"/>
  <c r="AC11" i="1"/>
  <c r="AC14" i="1"/>
  <c r="AC5" i="1"/>
  <c r="AL6" i="1"/>
  <c r="AL7" i="1"/>
  <c r="AL8" i="1"/>
  <c r="AL9" i="1"/>
  <c r="AL10" i="1"/>
  <c r="AL11" i="1"/>
  <c r="AL14" i="1"/>
  <c r="AO6" i="1"/>
  <c r="AO7" i="1"/>
  <c r="AO8" i="1"/>
  <c r="AO9" i="1"/>
  <c r="AO10" i="1"/>
  <c r="AO11" i="1"/>
  <c r="AO14" i="1"/>
  <c r="AO5" i="1"/>
  <c r="AL5" i="1"/>
  <c r="Z6" i="1"/>
  <c r="Z7" i="1"/>
  <c r="Z8" i="1"/>
  <c r="Z9" i="1"/>
  <c r="Z10" i="1"/>
  <c r="Z11" i="1"/>
  <c r="Z12" i="1"/>
  <c r="Z14" i="1"/>
  <c r="X6" i="1"/>
  <c r="X7" i="1"/>
  <c r="X8" i="1"/>
  <c r="X9" i="1"/>
  <c r="X10" i="1"/>
  <c r="X11" i="1"/>
  <c r="X12" i="1"/>
  <c r="X14" i="1"/>
  <c r="Z5" i="1"/>
  <c r="X5" i="1"/>
  <c r="U6" i="1"/>
  <c r="U7" i="1"/>
  <c r="U8" i="1"/>
  <c r="U9" i="1"/>
  <c r="U10" i="1"/>
  <c r="U11" i="1"/>
  <c r="U12" i="1"/>
  <c r="U14" i="1"/>
  <c r="S6" i="1"/>
  <c r="S7" i="1"/>
  <c r="S8" i="1"/>
  <c r="S9" i="1"/>
  <c r="S10" i="1"/>
  <c r="S11" i="1"/>
  <c r="S12" i="1"/>
  <c r="S14" i="1"/>
  <c r="Q6" i="1"/>
  <c r="Q7" i="1"/>
  <c r="Q8" i="1"/>
  <c r="Q9" i="1"/>
  <c r="Q10" i="1"/>
  <c r="Q11" i="1"/>
  <c r="Q12" i="1"/>
  <c r="Q14" i="1"/>
  <c r="O6" i="1"/>
  <c r="O7" i="1"/>
  <c r="O8" i="1"/>
  <c r="O9" i="1"/>
  <c r="O10" i="1"/>
  <c r="O11" i="1"/>
  <c r="O12" i="1"/>
  <c r="O14" i="1"/>
  <c r="M6" i="1"/>
  <c r="M7" i="1"/>
  <c r="M8" i="1"/>
  <c r="M9" i="1"/>
  <c r="M10" i="1"/>
  <c r="M11" i="1"/>
  <c r="M12" i="1"/>
  <c r="M14" i="1"/>
  <c r="U5" i="1"/>
  <c r="S5" i="1"/>
  <c r="Q5" i="1"/>
  <c r="O5" i="1"/>
  <c r="M5" i="1"/>
  <c r="J6" i="1"/>
  <c r="J7" i="1"/>
  <c r="J8" i="1"/>
  <c r="J9" i="1"/>
  <c r="J10" i="1"/>
  <c r="J11" i="1"/>
  <c r="J12" i="1"/>
  <c r="J14" i="1"/>
  <c r="H6" i="1"/>
  <c r="H7" i="1"/>
  <c r="H8" i="1"/>
  <c r="H9" i="1"/>
  <c r="H10" i="1"/>
  <c r="H11" i="1"/>
  <c r="H12" i="1"/>
  <c r="H14" i="1"/>
  <c r="F6" i="1"/>
  <c r="F7" i="1"/>
  <c r="F8" i="1"/>
  <c r="F9" i="1"/>
  <c r="F10" i="1"/>
  <c r="F11" i="1"/>
  <c r="F12" i="1"/>
  <c r="F14" i="1"/>
  <c r="D6" i="1"/>
  <c r="D7" i="1"/>
  <c r="D8" i="1"/>
  <c r="D9" i="1"/>
  <c r="D10" i="1"/>
  <c r="D11" i="1"/>
  <c r="D12" i="1"/>
  <c r="J5" i="1"/>
  <c r="H5" i="1"/>
  <c r="F5" i="1"/>
  <c r="D5" i="1"/>
  <c r="M21" i="6"/>
  <c r="O21" i="6"/>
  <c r="Q21" i="6"/>
  <c r="S21" i="6"/>
  <c r="U21" i="6"/>
  <c r="M19" i="6"/>
  <c r="Q18" i="6"/>
  <c r="P18" i="6"/>
  <c r="Q20" i="6"/>
  <c r="P20" i="6"/>
  <c r="U19" i="6"/>
  <c r="O20" i="6"/>
  <c r="N20" i="6"/>
  <c r="U20" i="6"/>
  <c r="T20" i="6"/>
  <c r="O18" i="6"/>
  <c r="N18" i="6"/>
  <c r="M20" i="6"/>
  <c r="L20" i="6"/>
  <c r="S20" i="6"/>
  <c r="R20" i="6"/>
  <c r="O19" i="6"/>
  <c r="S18" i="6"/>
  <c r="R18" i="6"/>
  <c r="S19" i="6"/>
  <c r="Q19" i="6"/>
  <c r="U17" i="6"/>
  <c r="R19" i="6"/>
  <c r="R17" i="6"/>
  <c r="S17" i="6"/>
  <c r="N19" i="6"/>
  <c r="N17" i="6"/>
  <c r="O17" i="6"/>
  <c r="T19" i="6"/>
  <c r="T17" i="6"/>
  <c r="T18" i="6"/>
  <c r="U18" i="6"/>
  <c r="M17" i="6"/>
  <c r="L19" i="6"/>
  <c r="L17" i="6"/>
  <c r="L18" i="6"/>
  <c r="M18" i="6"/>
  <c r="P19" i="6"/>
  <c r="P17" i="6"/>
  <c r="Q17" i="6"/>
</calcChain>
</file>

<file path=xl/sharedStrings.xml><?xml version="1.0" encoding="utf-8"?>
<sst xmlns="http://schemas.openxmlformats.org/spreadsheetml/2006/main" count="923" uniqueCount="49">
  <si>
    <t>MENORES DE 1 AÑO</t>
  </si>
  <si>
    <t>1 AÑO</t>
  </si>
  <si>
    <t>4 AÑOS</t>
  </si>
  <si>
    <t>GESTANTES</t>
  </si>
  <si>
    <t>VPH</t>
  </si>
  <si>
    <t>ADULTOS MAYORES</t>
  </si>
  <si>
    <t>Tdap</t>
  </si>
  <si>
    <t>IPV</t>
  </si>
  <si>
    <t>Neumococo</t>
  </si>
  <si>
    <t>Pentavalente</t>
  </si>
  <si>
    <t>Rotavirus</t>
  </si>
  <si>
    <t>NEUMOCOCO</t>
  </si>
  <si>
    <t>SPR</t>
  </si>
  <si>
    <t>DPT</t>
  </si>
  <si>
    <t>APO</t>
  </si>
  <si>
    <t>Influenza</t>
  </si>
  <si>
    <t>3° Dosis</t>
  </si>
  <si>
    <t>2° Dosis</t>
  </si>
  <si>
    <t>1° Dosis</t>
  </si>
  <si>
    <t>DU</t>
  </si>
  <si>
    <t>1° Ref</t>
  </si>
  <si>
    <t>2° Ref</t>
  </si>
  <si>
    <t>META</t>
  </si>
  <si>
    <t>ACOBAMBA</t>
  </si>
  <si>
    <t>ANGARAES</t>
  </si>
  <si>
    <t>CASTROVIRREYNA</t>
  </si>
  <si>
    <t>CHURCAMPA</t>
  </si>
  <si>
    <t>HUANCAVELICA</t>
  </si>
  <si>
    <t>HUAYTARA</t>
  </si>
  <si>
    <t>TAYACAJA</t>
  </si>
  <si>
    <t>DIRESA</t>
  </si>
  <si>
    <t>9 AÑOS</t>
  </si>
  <si>
    <t>10 A 18 AÑOS</t>
  </si>
  <si>
    <t>%</t>
  </si>
  <si>
    <t xml:space="preserve">ESSALUD </t>
  </si>
  <si>
    <t>En Blanco</t>
  </si>
  <si>
    <t>RIS</t>
  </si>
  <si>
    <t>AVANCE DE COBERTURAS DE VACUNACIÓN</t>
  </si>
  <si>
    <t>*Fuente: Power BI</t>
  </si>
  <si>
    <t>*Corte: 19 de Mayo con información al 18 de mayo</t>
  </si>
  <si>
    <t>&gt;41. 5%</t>
  </si>
  <si>
    <t>33 %  A 41.4 %</t>
  </si>
  <si>
    <t>&lt;32.9%</t>
  </si>
  <si>
    <t>COBERTURA ESPERADA AL 30 DE MAYO</t>
  </si>
  <si>
    <t>*Corte: 20 de Mayo con información al 19 de mayo</t>
  </si>
  <si>
    <t>*Corte: 21 de Mayo con información al 20 de mayo</t>
  </si>
  <si>
    <t>*Corte: 22 de Mayo con información al 21 de mayo</t>
  </si>
  <si>
    <t>*Corte: 25 de Mayo con información al 24 de mayo</t>
  </si>
  <si>
    <t>*Corte: 26 de Mayo con información al 25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</si>
</sst>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0"/>
      <color theme="1"/>
      <name val="Aptos Narrow"/>
      <family val="2"/>
    </font>
    <font>
      <b/>
      <sz val="16"/>
      <color theme="1"/>
      <name val="Arial Narrow"/>
      <family val="2"/>
    </font>
    <font>
      <b/>
      <sz val="14"/>
      <color theme="1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2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9" borderId="1" xfId="0" applyFont="1" applyFill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0" fillId="10" borderId="1" xfId="0" applyFill="1" applyBorder="1"/>
    <xf numFmtId="164" fontId="0" fillId="10" borderId="1" xfId="0" applyNumberFormat="1" applyFill="1" applyBorder="1"/>
    <xf numFmtId="0" fontId="0" fillId="0" borderId="1" xfId="0" applyFill="1" applyBorder="1"/>
    <xf numFmtId="164" fontId="0" fillId="0" borderId="1" xfId="0" applyNumberFormat="1" applyFill="1" applyBorder="1"/>
    <xf numFmtId="0" fontId="0" fillId="10" borderId="0" xfId="0" applyFill="1" applyBorder="1"/>
    <xf numFmtId="164" fontId="1" fillId="9" borderId="1" xfId="0" applyNumberFormat="1" applyFont="1" applyFill="1" applyBorder="1"/>
    <xf numFmtId="9" fontId="1" fillId="9" borderId="1" xfId="0" applyNumberFormat="1" applyFont="1" applyFill="1" applyBorder="1"/>
    <xf numFmtId="164" fontId="0" fillId="8" borderId="1" xfId="0" applyNumberFormat="1" applyFill="1" applyBorder="1"/>
    <xf numFmtId="0" fontId="0" fillId="8" borderId="1" xfId="0" applyFill="1" applyBorder="1"/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 applyBorder="1"/>
    <xf numFmtId="0" fontId="0" fillId="12" borderId="0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0" xfId="0" applyFill="1"/>
    <xf numFmtId="0" fontId="0" fillId="12" borderId="0" xfId="0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9" fontId="7" fillId="9" borderId="1" xfId="1" applyFont="1" applyFill="1" applyBorder="1" applyAlignment="1">
      <alignment horizontal="center" vertical="center" wrapText="1"/>
    </xf>
    <xf numFmtId="0" fontId="8" fillId="13" borderId="0" xfId="0" applyFont="1" applyFill="1" applyAlignment="1">
      <alignment horizontal="center" vertical="center"/>
    </xf>
    <xf numFmtId="9" fontId="9" fillId="12" borderId="0" xfId="1" applyFont="1" applyFill="1" applyBorder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left"/>
    </xf>
    <xf numFmtId="0" fontId="8" fillId="11" borderId="0" xfId="0" applyFont="1" applyFill="1" applyAlignment="1">
      <alignment horizontal="center" vertical="center"/>
    </xf>
    <xf numFmtId="0" fontId="6" fillId="12" borderId="0" xfId="0" applyFont="1" applyFill="1" applyBorder="1" applyAlignment="1">
      <alignment vertical="center"/>
    </xf>
    <xf numFmtId="0" fontId="8" fillId="12" borderId="0" xfId="0" applyFont="1" applyFill="1" applyAlignment="1">
      <alignment horizontal="center" vertical="center"/>
    </xf>
    <xf numFmtId="0" fontId="1" fillId="12" borderId="0" xfId="0" applyFont="1" applyFill="1"/>
    <xf numFmtId="0" fontId="1" fillId="12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9" fontId="7" fillId="3" borderId="1" xfId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center"/>
    </xf>
    <xf numFmtId="0" fontId="5" fillId="12" borderId="0" xfId="0" applyFont="1" applyFill="1" applyBorder="1" applyAlignment="1">
      <alignment horizontal="left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12" borderId="0" xfId="0" applyFont="1" applyFill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CCCC"/>
      <color rgb="FFFFFFCC"/>
      <color rgb="FF66FFCC"/>
      <color rgb="FF00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24F8-D45D-42D2-9BF4-9BA12B1088A0}">
  <dimension ref="A1:AO34"/>
  <sheetViews>
    <sheetView workbookViewId="0">
      <selection sqref="A1:AO1"/>
    </sheetView>
  </sheetViews>
  <sheetFormatPr baseColWidth="10" defaultRowHeight="14.5" x14ac:dyDescent="0.35"/>
  <cols>
    <col min="1" max="1" width="15.26953125" style="20" customWidth="1"/>
    <col min="2" max="3" width="5.90625" style="20" customWidth="1"/>
    <col min="4" max="4" width="7.7265625" style="20" customWidth="1"/>
    <col min="5" max="5" width="5.90625" style="20" customWidth="1"/>
    <col min="6" max="6" width="8.90625" style="20" customWidth="1"/>
    <col min="7" max="7" width="5.90625" style="20" customWidth="1"/>
    <col min="8" max="8" width="8.7265625" style="20" customWidth="1"/>
    <col min="9" max="9" width="5.90625" style="20" customWidth="1"/>
    <col min="10" max="10" width="7.81640625" style="20" customWidth="1"/>
    <col min="11" max="12" width="5.90625" style="20" customWidth="1"/>
    <col min="13" max="13" width="8.08984375" style="20" customWidth="1"/>
    <col min="14" max="14" width="5.90625" style="20" customWidth="1"/>
    <col min="15" max="15" width="8.08984375" style="20" customWidth="1"/>
    <col min="16" max="16" width="5.90625" style="20" customWidth="1"/>
    <col min="17" max="17" width="7.6328125" style="20" customWidth="1"/>
    <col min="18" max="18" width="5.90625" style="20" customWidth="1"/>
    <col min="19" max="19" width="8.08984375" style="20" customWidth="1"/>
    <col min="20" max="20" width="5.90625" style="20" customWidth="1"/>
    <col min="21" max="21" width="8.08984375" style="20" customWidth="1"/>
    <col min="22" max="28" width="5.90625" style="20" customWidth="1"/>
    <col min="29" max="29" width="7.6328125" style="20" customWidth="1"/>
    <col min="30" max="31" width="5.90625" style="20" customWidth="1"/>
    <col min="32" max="32" width="7.26953125" style="20" customWidth="1"/>
    <col min="33" max="41" width="5.90625" style="20" customWidth="1"/>
    <col min="42" max="16384" width="10.90625" style="20"/>
  </cols>
  <sheetData>
    <row r="1" spans="1:41" s="25" customFormat="1" ht="21" x14ac:dyDescent="0.35">
      <c r="A1" s="77" t="s">
        <v>37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</row>
    <row r="2" spans="1:41" ht="14.5" customHeight="1" x14ac:dyDescent="0.35">
      <c r="A2" s="86" t="s">
        <v>36</v>
      </c>
      <c r="B2" s="57" t="s">
        <v>0</v>
      </c>
      <c r="C2" s="93"/>
      <c r="D2" s="93"/>
      <c r="E2" s="93"/>
      <c r="F2" s="93"/>
      <c r="G2" s="93"/>
      <c r="H2" s="93"/>
      <c r="I2" s="93"/>
      <c r="J2" s="58"/>
      <c r="K2" s="59" t="s">
        <v>1</v>
      </c>
      <c r="L2" s="73"/>
      <c r="M2" s="73"/>
      <c r="N2" s="73"/>
      <c r="O2" s="73"/>
      <c r="P2" s="73"/>
      <c r="Q2" s="73"/>
      <c r="R2" s="73"/>
      <c r="S2" s="73"/>
      <c r="T2" s="73"/>
      <c r="U2" s="60"/>
      <c r="V2" s="70" t="s">
        <v>2</v>
      </c>
      <c r="W2" s="72"/>
      <c r="X2" s="72"/>
      <c r="Y2" s="72"/>
      <c r="Z2" s="71"/>
      <c r="AA2" s="68" t="s">
        <v>3</v>
      </c>
      <c r="AB2" s="74"/>
      <c r="AC2" s="69"/>
      <c r="AD2" s="65" t="s">
        <v>4</v>
      </c>
      <c r="AE2" s="66"/>
      <c r="AF2" s="66"/>
      <c r="AG2" s="66"/>
      <c r="AH2" s="66"/>
      <c r="AI2" s="67"/>
      <c r="AJ2" s="79" t="s">
        <v>5</v>
      </c>
      <c r="AK2" s="85"/>
      <c r="AL2" s="85"/>
      <c r="AM2" s="85"/>
      <c r="AN2" s="85"/>
      <c r="AO2" s="80"/>
    </row>
    <row r="3" spans="1:41" s="21" customFormat="1" ht="23.5" customHeight="1" x14ac:dyDescent="0.35">
      <c r="A3" s="87"/>
      <c r="B3" s="89" t="s">
        <v>22</v>
      </c>
      <c r="C3" s="57" t="s">
        <v>7</v>
      </c>
      <c r="D3" s="58"/>
      <c r="E3" s="57" t="s">
        <v>8</v>
      </c>
      <c r="F3" s="58"/>
      <c r="G3" s="57" t="s">
        <v>9</v>
      </c>
      <c r="H3" s="58"/>
      <c r="I3" s="57" t="s">
        <v>10</v>
      </c>
      <c r="J3" s="58"/>
      <c r="K3" s="91" t="s">
        <v>22</v>
      </c>
      <c r="L3" s="59" t="s">
        <v>11</v>
      </c>
      <c r="M3" s="60"/>
      <c r="N3" s="59" t="s">
        <v>12</v>
      </c>
      <c r="O3" s="73"/>
      <c r="P3" s="73"/>
      <c r="Q3" s="60"/>
      <c r="R3" s="59" t="s">
        <v>13</v>
      </c>
      <c r="S3" s="60"/>
      <c r="T3" s="59" t="s">
        <v>7</v>
      </c>
      <c r="U3" s="60"/>
      <c r="V3" s="81" t="s">
        <v>22</v>
      </c>
      <c r="W3" s="70" t="s">
        <v>13</v>
      </c>
      <c r="X3" s="71"/>
      <c r="Y3" s="70" t="s">
        <v>14</v>
      </c>
      <c r="Z3" s="71"/>
      <c r="AA3" s="75" t="s">
        <v>22</v>
      </c>
      <c r="AB3" s="68" t="s">
        <v>6</v>
      </c>
      <c r="AC3" s="69"/>
      <c r="AD3" s="63" t="s">
        <v>22</v>
      </c>
      <c r="AE3" s="65" t="s">
        <v>31</v>
      </c>
      <c r="AF3" s="67"/>
      <c r="AG3" s="63" t="s">
        <v>22</v>
      </c>
      <c r="AH3" s="65" t="s">
        <v>32</v>
      </c>
      <c r="AI3" s="67"/>
      <c r="AJ3" s="61" t="s">
        <v>22</v>
      </c>
      <c r="AK3" s="79" t="s">
        <v>8</v>
      </c>
      <c r="AL3" s="80"/>
      <c r="AM3" s="83" t="s">
        <v>22</v>
      </c>
      <c r="AN3" s="79" t="s">
        <v>15</v>
      </c>
      <c r="AO3" s="80"/>
    </row>
    <row r="4" spans="1:41" ht="25" customHeight="1" x14ac:dyDescent="0.35">
      <c r="A4" s="88"/>
      <c r="B4" s="90"/>
      <c r="C4" s="2" t="s">
        <v>16</v>
      </c>
      <c r="D4" s="2" t="s">
        <v>33</v>
      </c>
      <c r="E4" s="2" t="s">
        <v>17</v>
      </c>
      <c r="F4" s="2" t="s">
        <v>33</v>
      </c>
      <c r="G4" s="2" t="s">
        <v>16</v>
      </c>
      <c r="H4" s="2" t="s">
        <v>33</v>
      </c>
      <c r="I4" s="2" t="s">
        <v>17</v>
      </c>
      <c r="J4" s="2" t="s">
        <v>33</v>
      </c>
      <c r="K4" s="92"/>
      <c r="L4" s="1" t="s">
        <v>16</v>
      </c>
      <c r="M4" s="1" t="s">
        <v>33</v>
      </c>
      <c r="N4" s="1" t="s">
        <v>18</v>
      </c>
      <c r="O4" s="1" t="s">
        <v>33</v>
      </c>
      <c r="P4" s="1" t="s">
        <v>17</v>
      </c>
      <c r="Q4" s="1" t="s">
        <v>33</v>
      </c>
      <c r="R4" s="1" t="s">
        <v>20</v>
      </c>
      <c r="S4" s="1" t="s">
        <v>33</v>
      </c>
      <c r="T4" s="1" t="s">
        <v>20</v>
      </c>
      <c r="U4" s="1" t="s">
        <v>33</v>
      </c>
      <c r="V4" s="82"/>
      <c r="W4" s="3" t="s">
        <v>21</v>
      </c>
      <c r="X4" s="3" t="s">
        <v>33</v>
      </c>
      <c r="Y4" s="3" t="s">
        <v>21</v>
      </c>
      <c r="Z4" s="3" t="s">
        <v>33</v>
      </c>
      <c r="AA4" s="76"/>
      <c r="AB4" s="4" t="s">
        <v>19</v>
      </c>
      <c r="AC4" s="4" t="s">
        <v>33</v>
      </c>
      <c r="AD4" s="64"/>
      <c r="AE4" s="5" t="s">
        <v>19</v>
      </c>
      <c r="AF4" s="5" t="s">
        <v>33</v>
      </c>
      <c r="AG4" s="64"/>
      <c r="AH4" s="5" t="s">
        <v>19</v>
      </c>
      <c r="AI4" s="5" t="s">
        <v>33</v>
      </c>
      <c r="AJ4" s="62"/>
      <c r="AK4" s="6" t="s">
        <v>19</v>
      </c>
      <c r="AL4" s="6" t="s">
        <v>33</v>
      </c>
      <c r="AM4" s="84"/>
      <c r="AN4" s="6" t="s">
        <v>19</v>
      </c>
      <c r="AO4" s="6" t="s">
        <v>33</v>
      </c>
    </row>
    <row r="5" spans="1:41" x14ac:dyDescent="0.35">
      <c r="A5" s="7" t="s">
        <v>23</v>
      </c>
      <c r="B5" s="9">
        <v>442</v>
      </c>
      <c r="C5" s="7">
        <v>113</v>
      </c>
      <c r="D5" s="10">
        <f>C5/B5</f>
        <v>0.25565610859728505</v>
      </c>
      <c r="E5" s="7">
        <v>116</v>
      </c>
      <c r="F5" s="10">
        <f>E5/B5</f>
        <v>0.26244343891402716</v>
      </c>
      <c r="G5" s="7">
        <v>113</v>
      </c>
      <c r="H5" s="10">
        <f>G5/B5</f>
        <v>0.25565610859728505</v>
      </c>
      <c r="I5" s="7">
        <v>118</v>
      </c>
      <c r="J5" s="10">
        <f>I5/B5</f>
        <v>0.2669683257918552</v>
      </c>
      <c r="K5" s="7">
        <v>595</v>
      </c>
      <c r="L5" s="7">
        <v>144</v>
      </c>
      <c r="M5" s="10">
        <f>L5/K5</f>
        <v>0.24201680672268908</v>
      </c>
      <c r="N5" s="7">
        <v>145</v>
      </c>
      <c r="O5" s="10">
        <f>N5/K5</f>
        <v>0.24369747899159663</v>
      </c>
      <c r="P5" s="7">
        <v>143</v>
      </c>
      <c r="Q5" s="10">
        <f>P5/K5</f>
        <v>0.24033613445378152</v>
      </c>
      <c r="R5" s="7">
        <v>111</v>
      </c>
      <c r="S5" s="10">
        <f>R5/K5</f>
        <v>0.1865546218487395</v>
      </c>
      <c r="T5" s="7">
        <v>153</v>
      </c>
      <c r="U5" s="10">
        <f>T5/K5</f>
        <v>0.25714285714285712</v>
      </c>
      <c r="V5" s="7">
        <v>734</v>
      </c>
      <c r="W5" s="7">
        <v>194</v>
      </c>
      <c r="X5" s="10">
        <f>W5/V5</f>
        <v>0.26430517711171664</v>
      </c>
      <c r="Y5" s="7">
        <v>191</v>
      </c>
      <c r="Z5" s="10">
        <f>Y5/V5</f>
        <v>0.26021798365122617</v>
      </c>
      <c r="AA5" s="7">
        <v>338</v>
      </c>
      <c r="AB5" s="7">
        <v>115</v>
      </c>
      <c r="AC5" s="10">
        <f>AB5/AA5</f>
        <v>0.34023668639053256</v>
      </c>
      <c r="AD5" s="7">
        <v>825</v>
      </c>
      <c r="AE5" s="7">
        <v>137</v>
      </c>
      <c r="AF5" s="10">
        <f>AE5/AD5</f>
        <v>0.16606060606060605</v>
      </c>
      <c r="AG5" s="7">
        <v>546</v>
      </c>
      <c r="AH5" s="7">
        <v>238</v>
      </c>
      <c r="AI5" s="10">
        <f>AH5/AG5</f>
        <v>0.4358974358974359</v>
      </c>
      <c r="AJ5" s="7">
        <v>827</v>
      </c>
      <c r="AK5" s="7">
        <v>144</v>
      </c>
      <c r="AL5" s="10">
        <f>AK5/AJ5</f>
        <v>0.17412333736396615</v>
      </c>
      <c r="AM5" s="7">
        <v>1652</v>
      </c>
      <c r="AN5" s="7">
        <v>821</v>
      </c>
      <c r="AO5" s="10">
        <f>AN5/AM5</f>
        <v>0.49697336561743344</v>
      </c>
    </row>
    <row r="6" spans="1:41" x14ac:dyDescent="0.35">
      <c r="A6" s="7" t="s">
        <v>24</v>
      </c>
      <c r="B6" s="7">
        <v>635</v>
      </c>
      <c r="C6" s="7">
        <v>185</v>
      </c>
      <c r="D6" s="10">
        <f t="shared" ref="D6:D12" si="0">C6/B6</f>
        <v>0.29133858267716534</v>
      </c>
      <c r="E6" s="7">
        <v>187</v>
      </c>
      <c r="F6" s="10">
        <f t="shared" ref="F6:F14" si="1">E6/B6</f>
        <v>0.29448818897637796</v>
      </c>
      <c r="G6" s="7">
        <v>185</v>
      </c>
      <c r="H6" s="10">
        <f t="shared" ref="H6:H14" si="2">G6/B6</f>
        <v>0.29133858267716534</v>
      </c>
      <c r="I6" s="7">
        <v>185</v>
      </c>
      <c r="J6" s="10">
        <f t="shared" ref="J6:J14" si="3">I6/B6</f>
        <v>0.29133858267716534</v>
      </c>
      <c r="K6" s="7">
        <v>711</v>
      </c>
      <c r="L6" s="7">
        <v>203</v>
      </c>
      <c r="M6" s="10">
        <f t="shared" ref="M6:M14" si="4">L6/K6</f>
        <v>0.28551336146272854</v>
      </c>
      <c r="N6" s="7">
        <v>210</v>
      </c>
      <c r="O6" s="10">
        <f t="shared" ref="O6:O14" si="5">N6/K6</f>
        <v>0.29535864978902954</v>
      </c>
      <c r="P6" s="7">
        <v>162</v>
      </c>
      <c r="Q6" s="10">
        <f t="shared" ref="Q6:Q14" si="6">P6/K6</f>
        <v>0.22784810126582278</v>
      </c>
      <c r="R6" s="7">
        <v>130</v>
      </c>
      <c r="S6" s="10">
        <f t="shared" ref="S6:S14" si="7">R6/K6</f>
        <v>0.18284106891701829</v>
      </c>
      <c r="T6" s="7">
        <v>186</v>
      </c>
      <c r="U6" s="10">
        <f t="shared" ref="U6:U14" si="8">T6/K6</f>
        <v>0.26160337552742619</v>
      </c>
      <c r="V6" s="7">
        <v>806</v>
      </c>
      <c r="W6" s="7">
        <v>215</v>
      </c>
      <c r="X6" s="10">
        <f t="shared" ref="X6:X14" si="9">W6/V6</f>
        <v>0.26674937965260548</v>
      </c>
      <c r="Y6" s="7">
        <v>209</v>
      </c>
      <c r="Z6" s="10">
        <f t="shared" ref="Z6:Z14" si="10">Y6/V6</f>
        <v>0.25930521091811415</v>
      </c>
      <c r="AA6" s="7">
        <v>587</v>
      </c>
      <c r="AB6" s="7">
        <v>181</v>
      </c>
      <c r="AC6" s="10">
        <f t="shared" ref="AC6:AC14" si="11">AB6/AA6</f>
        <v>0.30834752981260649</v>
      </c>
      <c r="AD6" s="7">
        <v>1062</v>
      </c>
      <c r="AE6" s="7">
        <v>155</v>
      </c>
      <c r="AF6" s="10">
        <f t="shared" ref="AF6:AF13" si="12">AE6/AD6</f>
        <v>0.14595103578154425</v>
      </c>
      <c r="AG6" s="7">
        <v>735</v>
      </c>
      <c r="AH6" s="7">
        <v>229</v>
      </c>
      <c r="AI6" s="10">
        <f t="shared" ref="AI6:AI13" si="13">AH6/AG6</f>
        <v>0.31156462585034012</v>
      </c>
      <c r="AJ6" s="7">
        <v>1189</v>
      </c>
      <c r="AK6" s="7">
        <v>103</v>
      </c>
      <c r="AL6" s="10">
        <f t="shared" ref="AL6:AL14" si="14">AK6/AJ6</f>
        <v>8.6627417998317913E-2</v>
      </c>
      <c r="AM6" s="7">
        <v>2384</v>
      </c>
      <c r="AN6" s="7">
        <v>811</v>
      </c>
      <c r="AO6" s="10">
        <f t="shared" ref="AO6:AO14" si="15">AN6/AM6</f>
        <v>0.34018456375838924</v>
      </c>
    </row>
    <row r="7" spans="1:41" x14ac:dyDescent="0.35">
      <c r="A7" s="7" t="s">
        <v>25</v>
      </c>
      <c r="B7" s="7">
        <v>130</v>
      </c>
      <c r="C7" s="7">
        <v>38</v>
      </c>
      <c r="D7" s="10">
        <f t="shared" si="0"/>
        <v>0.29230769230769232</v>
      </c>
      <c r="E7" s="7">
        <v>31</v>
      </c>
      <c r="F7" s="10">
        <f t="shared" si="1"/>
        <v>0.23846153846153847</v>
      </c>
      <c r="G7" s="7">
        <v>38</v>
      </c>
      <c r="H7" s="10">
        <f t="shared" si="2"/>
        <v>0.29230769230769232</v>
      </c>
      <c r="I7" s="7">
        <v>32</v>
      </c>
      <c r="J7" s="10">
        <f t="shared" si="3"/>
        <v>0.24615384615384617</v>
      </c>
      <c r="K7" s="7">
        <v>161</v>
      </c>
      <c r="L7" s="7">
        <v>44</v>
      </c>
      <c r="M7" s="10">
        <f t="shared" si="4"/>
        <v>0.27329192546583853</v>
      </c>
      <c r="N7" s="7">
        <v>45</v>
      </c>
      <c r="O7" s="10">
        <f t="shared" si="5"/>
        <v>0.27950310559006208</v>
      </c>
      <c r="P7" s="7">
        <v>43</v>
      </c>
      <c r="Q7" s="10">
        <f t="shared" si="6"/>
        <v>0.26708074534161491</v>
      </c>
      <c r="R7" s="7">
        <v>30</v>
      </c>
      <c r="S7" s="10">
        <f t="shared" si="7"/>
        <v>0.18633540372670807</v>
      </c>
      <c r="T7" s="7">
        <v>44</v>
      </c>
      <c r="U7" s="10">
        <f t="shared" si="8"/>
        <v>0.27329192546583853</v>
      </c>
      <c r="V7" s="7">
        <v>221</v>
      </c>
      <c r="W7" s="7">
        <v>69</v>
      </c>
      <c r="X7" s="10">
        <f t="shared" si="9"/>
        <v>0.31221719457013575</v>
      </c>
      <c r="Y7" s="7">
        <v>69</v>
      </c>
      <c r="Z7" s="10">
        <f t="shared" si="10"/>
        <v>0.31221719457013575</v>
      </c>
      <c r="AA7" s="7">
        <v>83</v>
      </c>
      <c r="AB7" s="7">
        <v>32</v>
      </c>
      <c r="AC7" s="10">
        <f t="shared" si="11"/>
        <v>0.38554216867469882</v>
      </c>
      <c r="AD7" s="7">
        <v>251</v>
      </c>
      <c r="AE7" s="7">
        <v>39</v>
      </c>
      <c r="AF7" s="10">
        <f t="shared" si="12"/>
        <v>0.15537848605577689</v>
      </c>
      <c r="AG7" s="7">
        <v>184</v>
      </c>
      <c r="AH7" s="7">
        <v>88</v>
      </c>
      <c r="AI7" s="10">
        <f t="shared" si="13"/>
        <v>0.47826086956521741</v>
      </c>
      <c r="AJ7" s="7">
        <v>537</v>
      </c>
      <c r="AK7" s="7">
        <v>48</v>
      </c>
      <c r="AL7" s="10">
        <f t="shared" si="14"/>
        <v>8.9385474860335198E-2</v>
      </c>
      <c r="AM7" s="7">
        <v>1074</v>
      </c>
      <c r="AN7" s="7">
        <v>788</v>
      </c>
      <c r="AO7" s="10">
        <f t="shared" si="15"/>
        <v>0.73370577281191807</v>
      </c>
    </row>
    <row r="8" spans="1:41" x14ac:dyDescent="0.35">
      <c r="A8" s="7" t="s">
        <v>26</v>
      </c>
      <c r="B8" s="7">
        <v>402</v>
      </c>
      <c r="C8" s="7">
        <v>141</v>
      </c>
      <c r="D8" s="10">
        <f t="shared" si="0"/>
        <v>0.35074626865671643</v>
      </c>
      <c r="E8" s="7">
        <v>127</v>
      </c>
      <c r="F8" s="10">
        <f t="shared" si="1"/>
        <v>0.31592039800995025</v>
      </c>
      <c r="G8" s="7">
        <v>142</v>
      </c>
      <c r="H8" s="10">
        <f t="shared" si="2"/>
        <v>0.35323383084577115</v>
      </c>
      <c r="I8" s="7">
        <v>127</v>
      </c>
      <c r="J8" s="10">
        <f t="shared" si="3"/>
        <v>0.31592039800995025</v>
      </c>
      <c r="K8" s="7">
        <v>489</v>
      </c>
      <c r="L8" s="7">
        <v>140</v>
      </c>
      <c r="M8" s="10">
        <f t="shared" si="4"/>
        <v>0.28629856850715746</v>
      </c>
      <c r="N8" s="7">
        <v>146</v>
      </c>
      <c r="O8" s="10">
        <f t="shared" si="5"/>
        <v>0.29856850715746419</v>
      </c>
      <c r="P8" s="7">
        <v>116</v>
      </c>
      <c r="Q8" s="10">
        <f t="shared" si="6"/>
        <v>0.23721881390593047</v>
      </c>
      <c r="R8" s="7">
        <v>93</v>
      </c>
      <c r="S8" s="10">
        <f t="shared" si="7"/>
        <v>0.19018404907975461</v>
      </c>
      <c r="T8" s="7">
        <v>114</v>
      </c>
      <c r="U8" s="10">
        <f t="shared" si="8"/>
        <v>0.23312883435582821</v>
      </c>
      <c r="V8" s="7">
        <v>676</v>
      </c>
      <c r="W8" s="7">
        <v>169</v>
      </c>
      <c r="X8" s="10">
        <f t="shared" si="9"/>
        <v>0.25</v>
      </c>
      <c r="Y8" s="7">
        <v>172</v>
      </c>
      <c r="Z8" s="10">
        <f t="shared" si="10"/>
        <v>0.25443786982248523</v>
      </c>
      <c r="AA8" s="7">
        <v>321</v>
      </c>
      <c r="AB8" s="7">
        <v>104</v>
      </c>
      <c r="AC8" s="10">
        <f t="shared" si="11"/>
        <v>0.32398753894080995</v>
      </c>
      <c r="AD8" s="7">
        <v>682</v>
      </c>
      <c r="AE8" s="7">
        <v>75</v>
      </c>
      <c r="AF8" s="10">
        <f t="shared" si="12"/>
        <v>0.10997067448680352</v>
      </c>
      <c r="AG8" s="7">
        <v>476</v>
      </c>
      <c r="AH8" s="7">
        <v>149</v>
      </c>
      <c r="AI8" s="10">
        <f t="shared" si="13"/>
        <v>0.31302521008403361</v>
      </c>
      <c r="AJ8" s="7">
        <v>1076</v>
      </c>
      <c r="AK8" s="7">
        <v>170</v>
      </c>
      <c r="AL8" s="10">
        <f t="shared" si="14"/>
        <v>0.15799256505576209</v>
      </c>
      <c r="AM8" s="7">
        <v>2145</v>
      </c>
      <c r="AN8" s="7">
        <v>1259</v>
      </c>
      <c r="AO8" s="10">
        <f t="shared" si="15"/>
        <v>0.5869463869463869</v>
      </c>
    </row>
    <row r="9" spans="1:41" s="15" customFormat="1" ht="14.5" hidden="1" customHeight="1" x14ac:dyDescent="0.35">
      <c r="A9" s="11" t="s">
        <v>27</v>
      </c>
      <c r="B9" s="11"/>
      <c r="C9" s="11"/>
      <c r="D9" s="12">
        <f>C9/B13</f>
        <v>0</v>
      </c>
      <c r="E9" s="11"/>
      <c r="F9" s="12">
        <f>E15/B13</f>
        <v>0.28887070376432078</v>
      </c>
      <c r="G9" s="11"/>
      <c r="H9" s="12">
        <f>G15/B13</f>
        <v>0.27741407528641571</v>
      </c>
      <c r="I9" s="11"/>
      <c r="J9" s="12">
        <f>I15/B13</f>
        <v>0.29541734860883795</v>
      </c>
      <c r="K9" s="11"/>
      <c r="L9" s="11"/>
      <c r="M9" s="12">
        <f>L15/K13</f>
        <v>0.28002699055330632</v>
      </c>
      <c r="N9" s="11"/>
      <c r="O9" s="12">
        <f>N15/K13</f>
        <v>0.28677462887989202</v>
      </c>
      <c r="P9" s="11"/>
      <c r="Q9" s="12">
        <f>P15/K13</f>
        <v>0.22941970310391363</v>
      </c>
      <c r="R9" s="11"/>
      <c r="S9" s="12">
        <f>R15/K13</f>
        <v>0.16666666666666666</v>
      </c>
      <c r="T9" s="11"/>
      <c r="U9" s="12">
        <f>T15/K13</f>
        <v>0.25978407557354927</v>
      </c>
      <c r="V9" s="11"/>
      <c r="W9" s="11"/>
      <c r="X9" s="12">
        <f>W15/V13</f>
        <v>0.27039050914483442</v>
      </c>
      <c r="Y9" s="11"/>
      <c r="Z9" s="12">
        <f>Y15/V13</f>
        <v>0.26890756302521007</v>
      </c>
      <c r="AA9" s="11"/>
      <c r="AB9" s="11"/>
      <c r="AC9" s="12">
        <f>AB15/AA13</f>
        <v>0.32418952618453867</v>
      </c>
      <c r="AD9" s="11"/>
      <c r="AE9" s="11"/>
      <c r="AF9" s="10" t="e">
        <f t="shared" si="12"/>
        <v>#DIV/0!</v>
      </c>
      <c r="AG9" s="11"/>
      <c r="AH9" s="11"/>
      <c r="AI9" s="10" t="e">
        <f t="shared" si="13"/>
        <v>#DIV/0!</v>
      </c>
      <c r="AJ9" s="11"/>
      <c r="AK9" s="11"/>
      <c r="AL9" s="12">
        <f>AK15/AJ13</f>
        <v>0.11544523246650906</v>
      </c>
      <c r="AM9" s="11"/>
      <c r="AN9" s="11"/>
      <c r="AO9" s="12">
        <f>AN15/AM13</f>
        <v>0.36664695446481371</v>
      </c>
    </row>
    <row r="10" spans="1:41" x14ac:dyDescent="0.35">
      <c r="A10" s="7" t="s">
        <v>28</v>
      </c>
      <c r="B10" s="7">
        <v>132</v>
      </c>
      <c r="C10" s="7">
        <v>60</v>
      </c>
      <c r="D10" s="10">
        <f t="shared" si="0"/>
        <v>0.45454545454545453</v>
      </c>
      <c r="E10" s="7">
        <v>56</v>
      </c>
      <c r="F10" s="10">
        <f t="shared" si="1"/>
        <v>0.42424242424242425</v>
      </c>
      <c r="G10" s="7">
        <v>60</v>
      </c>
      <c r="H10" s="10">
        <f t="shared" si="2"/>
        <v>0.45454545454545453</v>
      </c>
      <c r="I10" s="7">
        <v>56</v>
      </c>
      <c r="J10" s="10">
        <f t="shared" si="3"/>
        <v>0.42424242424242425</v>
      </c>
      <c r="K10" s="7">
        <v>167</v>
      </c>
      <c r="L10" s="7">
        <v>45</v>
      </c>
      <c r="M10" s="10">
        <f t="shared" si="4"/>
        <v>0.26946107784431139</v>
      </c>
      <c r="N10" s="7">
        <v>46</v>
      </c>
      <c r="O10" s="10">
        <f t="shared" si="5"/>
        <v>0.27544910179640719</v>
      </c>
      <c r="P10" s="7">
        <v>33</v>
      </c>
      <c r="Q10" s="10">
        <f t="shared" si="6"/>
        <v>0.19760479041916168</v>
      </c>
      <c r="R10" s="7">
        <v>18</v>
      </c>
      <c r="S10" s="10">
        <f t="shared" si="7"/>
        <v>0.10778443113772455</v>
      </c>
      <c r="T10" s="7">
        <v>36</v>
      </c>
      <c r="U10" s="10">
        <f t="shared" si="8"/>
        <v>0.21556886227544911</v>
      </c>
      <c r="V10" s="7">
        <v>255</v>
      </c>
      <c r="W10" s="7">
        <v>87</v>
      </c>
      <c r="X10" s="10">
        <f t="shared" si="9"/>
        <v>0.3411764705882353</v>
      </c>
      <c r="Y10" s="7">
        <v>86</v>
      </c>
      <c r="Z10" s="10">
        <f t="shared" si="10"/>
        <v>0.33725490196078434</v>
      </c>
      <c r="AA10" s="7">
        <v>113</v>
      </c>
      <c r="AB10" s="7">
        <v>41</v>
      </c>
      <c r="AC10" s="10">
        <f t="shared" si="11"/>
        <v>0.36283185840707965</v>
      </c>
      <c r="AD10" s="7">
        <v>269</v>
      </c>
      <c r="AE10" s="7">
        <v>18</v>
      </c>
      <c r="AF10" s="10">
        <f t="shared" si="12"/>
        <v>6.6914498141263934E-2</v>
      </c>
      <c r="AG10" s="7">
        <v>241</v>
      </c>
      <c r="AH10" s="7">
        <v>30</v>
      </c>
      <c r="AI10" s="10">
        <f t="shared" si="13"/>
        <v>0.12448132780082988</v>
      </c>
      <c r="AJ10" s="7">
        <v>928</v>
      </c>
      <c r="AK10" s="7">
        <v>33</v>
      </c>
      <c r="AL10" s="10">
        <f t="shared" si="14"/>
        <v>3.5560344827586209E-2</v>
      </c>
      <c r="AM10" s="7">
        <v>1858</v>
      </c>
      <c r="AN10" s="7">
        <v>1160</v>
      </c>
      <c r="AO10" s="10">
        <f t="shared" si="15"/>
        <v>0.62432723358449949</v>
      </c>
    </row>
    <row r="11" spans="1:41" x14ac:dyDescent="0.35">
      <c r="A11" s="7" t="s">
        <v>29</v>
      </c>
      <c r="B11" s="7">
        <v>945</v>
      </c>
      <c r="C11" s="7">
        <v>305</v>
      </c>
      <c r="D11" s="10">
        <f t="shared" si="0"/>
        <v>0.32275132275132273</v>
      </c>
      <c r="E11" s="7">
        <v>315</v>
      </c>
      <c r="F11" s="10">
        <f t="shared" si="1"/>
        <v>0.33333333333333331</v>
      </c>
      <c r="G11" s="7">
        <v>306</v>
      </c>
      <c r="H11" s="10">
        <f t="shared" si="2"/>
        <v>0.32380952380952382</v>
      </c>
      <c r="I11" s="7">
        <v>321</v>
      </c>
      <c r="J11" s="10">
        <f t="shared" si="3"/>
        <v>0.3396825396825397</v>
      </c>
      <c r="K11" s="7">
        <v>1174</v>
      </c>
      <c r="L11" s="7">
        <v>345</v>
      </c>
      <c r="M11" s="10">
        <f t="shared" si="4"/>
        <v>0.29386712095400341</v>
      </c>
      <c r="N11" s="7">
        <v>349</v>
      </c>
      <c r="O11" s="10">
        <f t="shared" si="5"/>
        <v>0.29727427597955708</v>
      </c>
      <c r="P11" s="7">
        <v>305</v>
      </c>
      <c r="Q11" s="10">
        <f t="shared" si="6"/>
        <v>0.25979557069846676</v>
      </c>
      <c r="R11" s="7">
        <v>190</v>
      </c>
      <c r="S11" s="10">
        <f t="shared" si="7"/>
        <v>0.16183986371379896</v>
      </c>
      <c r="T11" s="7">
        <v>322</v>
      </c>
      <c r="U11" s="10">
        <f t="shared" si="8"/>
        <v>0.27427597955706984</v>
      </c>
      <c r="V11" s="7">
        <v>1562</v>
      </c>
      <c r="W11" s="7">
        <v>493</v>
      </c>
      <c r="X11" s="10">
        <f t="shared" si="9"/>
        <v>0.31562099871959026</v>
      </c>
      <c r="Y11" s="7">
        <v>481</v>
      </c>
      <c r="Z11" s="10">
        <f t="shared" si="10"/>
        <v>0.30793854033290652</v>
      </c>
      <c r="AA11" s="7">
        <v>813</v>
      </c>
      <c r="AB11" s="7">
        <v>273</v>
      </c>
      <c r="AC11" s="10">
        <f t="shared" si="11"/>
        <v>0.33579335793357934</v>
      </c>
      <c r="AD11" s="7">
        <v>1687</v>
      </c>
      <c r="AE11" s="7">
        <v>269</v>
      </c>
      <c r="AF11" s="10">
        <f t="shared" si="12"/>
        <v>0.15945465323058683</v>
      </c>
      <c r="AG11" s="7">
        <v>1192</v>
      </c>
      <c r="AH11" s="7">
        <v>342</v>
      </c>
      <c r="AI11" s="10">
        <f t="shared" si="13"/>
        <v>0.28691275167785235</v>
      </c>
      <c r="AJ11" s="7">
        <v>1944</v>
      </c>
      <c r="AK11" s="7">
        <v>308</v>
      </c>
      <c r="AL11" s="10">
        <f t="shared" si="14"/>
        <v>0.15843621399176955</v>
      </c>
      <c r="AM11" s="7">
        <v>3882</v>
      </c>
      <c r="AN11" s="7">
        <v>2153</v>
      </c>
      <c r="AO11" s="10">
        <f t="shared" si="15"/>
        <v>0.55461102524471917</v>
      </c>
    </row>
    <row r="12" spans="1:41" x14ac:dyDescent="0.35">
      <c r="A12" s="7" t="s">
        <v>34</v>
      </c>
      <c r="B12" s="7">
        <v>321</v>
      </c>
      <c r="C12" s="7">
        <v>48</v>
      </c>
      <c r="D12" s="10">
        <f t="shared" si="0"/>
        <v>0.14953271028037382</v>
      </c>
      <c r="E12" s="7">
        <v>52</v>
      </c>
      <c r="F12" s="10">
        <f t="shared" si="1"/>
        <v>0.16199376947040497</v>
      </c>
      <c r="G12" s="7">
        <v>49</v>
      </c>
      <c r="H12" s="10">
        <f t="shared" si="2"/>
        <v>0.15264797507788161</v>
      </c>
      <c r="I12" s="7">
        <v>52</v>
      </c>
      <c r="J12" s="10">
        <f t="shared" si="3"/>
        <v>0.16199376947040497</v>
      </c>
      <c r="K12" s="7">
        <v>327</v>
      </c>
      <c r="L12" s="7">
        <v>55</v>
      </c>
      <c r="M12" s="10">
        <f t="shared" si="4"/>
        <v>0.16819571865443425</v>
      </c>
      <c r="N12" s="7">
        <v>55</v>
      </c>
      <c r="O12" s="10">
        <f t="shared" si="5"/>
        <v>0.16819571865443425</v>
      </c>
      <c r="P12" s="7">
        <v>28</v>
      </c>
      <c r="Q12" s="10">
        <f t="shared" si="6"/>
        <v>8.5626911314984705E-2</v>
      </c>
      <c r="R12" s="7">
        <v>26</v>
      </c>
      <c r="S12" s="10">
        <f t="shared" si="7"/>
        <v>7.9510703363914373E-2</v>
      </c>
      <c r="T12" s="7">
        <v>43</v>
      </c>
      <c r="U12" s="10">
        <f t="shared" si="8"/>
        <v>0.13149847094801223</v>
      </c>
      <c r="V12" s="7">
        <v>436</v>
      </c>
      <c r="W12" s="7">
        <v>46</v>
      </c>
      <c r="X12" s="10">
        <f t="shared" si="9"/>
        <v>0.10550458715596331</v>
      </c>
      <c r="Y12" s="7">
        <v>45</v>
      </c>
      <c r="Z12" s="10">
        <f t="shared" si="10"/>
        <v>0.10321100917431193</v>
      </c>
      <c r="AA12" s="19"/>
      <c r="AB12" s="7">
        <v>39</v>
      </c>
      <c r="AC12" s="18"/>
      <c r="AD12" s="19"/>
      <c r="AE12" s="7">
        <v>12</v>
      </c>
      <c r="AF12" s="18"/>
      <c r="AG12" s="19"/>
      <c r="AH12" s="7">
        <v>20</v>
      </c>
      <c r="AI12" s="18"/>
      <c r="AJ12" s="19"/>
      <c r="AK12" s="7">
        <v>32</v>
      </c>
      <c r="AL12" s="18"/>
      <c r="AM12" s="19"/>
      <c r="AN12" s="7">
        <v>231</v>
      </c>
      <c r="AO12" s="18"/>
    </row>
    <row r="13" spans="1:41" s="23" customFormat="1" x14ac:dyDescent="0.35">
      <c r="A13" s="13" t="s">
        <v>27</v>
      </c>
      <c r="B13" s="13">
        <v>1222</v>
      </c>
      <c r="C13" s="13">
        <f>SUM(C15:C16)</f>
        <v>365</v>
      </c>
      <c r="D13" s="14">
        <f>C13/B13</f>
        <v>0.29869067103109659</v>
      </c>
      <c r="E13" s="13">
        <f>353+E16</f>
        <v>376</v>
      </c>
      <c r="F13" s="14">
        <f>E13/B13</f>
        <v>0.30769230769230771</v>
      </c>
      <c r="G13" s="13">
        <f>G15+G16</f>
        <v>363</v>
      </c>
      <c r="H13" s="14">
        <f>G13/B13</f>
        <v>0.29705400981996727</v>
      </c>
      <c r="I13" s="13">
        <f>I15+I16</f>
        <v>384</v>
      </c>
      <c r="J13" s="14">
        <f>I13/B13</f>
        <v>0.31423895253682488</v>
      </c>
      <c r="K13" s="13">
        <v>1482</v>
      </c>
      <c r="L13" s="13">
        <f>L15+L16</f>
        <v>448</v>
      </c>
      <c r="M13" s="14">
        <f>L13/K13</f>
        <v>0.30229419703103916</v>
      </c>
      <c r="N13" s="13">
        <f>N15+N16</f>
        <v>458</v>
      </c>
      <c r="O13" s="14">
        <f>N13/K13</f>
        <v>0.30904183535762481</v>
      </c>
      <c r="P13" s="13">
        <f>P15+P16</f>
        <v>361</v>
      </c>
      <c r="Q13" s="14">
        <f>P13/K13</f>
        <v>0.24358974358974358</v>
      </c>
      <c r="R13" s="13">
        <f>R15+R16</f>
        <v>267</v>
      </c>
      <c r="S13" s="14">
        <f>R13/K13</f>
        <v>0.18016194331983806</v>
      </c>
      <c r="T13" s="13">
        <f>T15+T16</f>
        <v>413</v>
      </c>
      <c r="U13" s="14">
        <f>T13/K13</f>
        <v>0.27867746288798922</v>
      </c>
      <c r="V13" s="13">
        <v>2023</v>
      </c>
      <c r="W13" s="13">
        <f>W15+W16</f>
        <v>594</v>
      </c>
      <c r="X13" s="14">
        <f>W13/V13</f>
        <v>0.29362333168561544</v>
      </c>
      <c r="Y13" s="13">
        <f>Y15+Y16</f>
        <v>591</v>
      </c>
      <c r="Z13" s="14">
        <f>Y13/V13</f>
        <v>0.29214038556599109</v>
      </c>
      <c r="AA13" s="13">
        <v>1203</v>
      </c>
      <c r="AB13" s="13">
        <f>AB15+AB16</f>
        <v>422</v>
      </c>
      <c r="AC13" s="14">
        <f>AB13/AA13</f>
        <v>0.35078969243557773</v>
      </c>
      <c r="AD13" s="13">
        <v>2391</v>
      </c>
      <c r="AE13" s="13">
        <f>AE15+AE16</f>
        <v>181</v>
      </c>
      <c r="AF13" s="14">
        <f t="shared" si="12"/>
        <v>7.570054370556252E-2</v>
      </c>
      <c r="AG13" s="13">
        <v>1650</v>
      </c>
      <c r="AH13" s="13">
        <f>AH15+AH16</f>
        <v>432</v>
      </c>
      <c r="AI13" s="10">
        <f t="shared" si="13"/>
        <v>0.26181818181818184</v>
      </c>
      <c r="AJ13" s="13">
        <v>2538</v>
      </c>
      <c r="AK13" s="13">
        <f>AK15+AK16</f>
        <v>303</v>
      </c>
      <c r="AL13" s="14">
        <f>AK13/AJ13</f>
        <v>0.11938534278959811</v>
      </c>
      <c r="AM13" s="13">
        <v>5073</v>
      </c>
      <c r="AN13" s="13">
        <f>AN15+AN16</f>
        <v>1862</v>
      </c>
      <c r="AO13" s="14">
        <f>AN13/AM13</f>
        <v>0.36704119850187267</v>
      </c>
    </row>
    <row r="14" spans="1:41" s="24" customFormat="1" x14ac:dyDescent="0.35">
      <c r="A14" s="8" t="s">
        <v>30</v>
      </c>
      <c r="B14" s="8">
        <f>SUM(B5:B13)</f>
        <v>4229</v>
      </c>
      <c r="C14" s="8">
        <f>SUM(C5:C13)</f>
        <v>1255</v>
      </c>
      <c r="D14" s="16">
        <f>C14/B14</f>
        <v>0.29676046346654056</v>
      </c>
      <c r="E14" s="8">
        <f>SUM(E5:E13)</f>
        <v>1260</v>
      </c>
      <c r="F14" s="16">
        <f t="shared" si="1"/>
        <v>0.29794277606999292</v>
      </c>
      <c r="G14" s="8">
        <f>SUM(G5:G13)</f>
        <v>1256</v>
      </c>
      <c r="H14" s="16">
        <f t="shared" si="2"/>
        <v>0.29699692598723104</v>
      </c>
      <c r="I14" s="8">
        <f>SUM(I5:I13)</f>
        <v>1275</v>
      </c>
      <c r="J14" s="16">
        <f t="shared" si="3"/>
        <v>0.30148971388034995</v>
      </c>
      <c r="K14" s="8">
        <f>SUM(K5:K13)</f>
        <v>5106</v>
      </c>
      <c r="L14" s="8">
        <f>SUM(L5:L13)</f>
        <v>1424</v>
      </c>
      <c r="M14" s="16">
        <f t="shared" si="4"/>
        <v>0.2788875832354093</v>
      </c>
      <c r="N14" s="8">
        <f>SUM(N5:N13)</f>
        <v>1454</v>
      </c>
      <c r="O14" s="16">
        <f t="shared" si="5"/>
        <v>0.2847630238934587</v>
      </c>
      <c r="P14" s="8">
        <f>SUM(P5:P13)</f>
        <v>1191</v>
      </c>
      <c r="Q14" s="16">
        <f t="shared" si="6"/>
        <v>0.23325499412455933</v>
      </c>
      <c r="R14" s="8">
        <f>SUM(R5:R13)</f>
        <v>865</v>
      </c>
      <c r="S14" s="16">
        <f t="shared" si="7"/>
        <v>0.16940853897375638</v>
      </c>
      <c r="T14" s="8">
        <f>SUM(T5:T13)</f>
        <v>1311</v>
      </c>
      <c r="U14" s="16">
        <f t="shared" si="8"/>
        <v>0.25675675675675674</v>
      </c>
      <c r="V14" s="8">
        <f>SUM(V5:V13)</f>
        <v>6713</v>
      </c>
      <c r="W14" s="8">
        <f>SUM(W5:W13)</f>
        <v>1867</v>
      </c>
      <c r="X14" s="16">
        <f t="shared" si="9"/>
        <v>0.27811708625055864</v>
      </c>
      <c r="Y14" s="8">
        <f>SUM(Y5:Y13)</f>
        <v>1844</v>
      </c>
      <c r="Z14" s="16">
        <f t="shared" si="10"/>
        <v>0.27469089825711307</v>
      </c>
      <c r="AA14" s="8">
        <f>SUM(AA5:AA13)</f>
        <v>3458</v>
      </c>
      <c r="AB14" s="8">
        <f>SUM(AB5:AB13)</f>
        <v>1207</v>
      </c>
      <c r="AC14" s="16">
        <f t="shared" si="11"/>
        <v>0.3490456911509543</v>
      </c>
      <c r="AD14" s="8">
        <f>SUM(AD5:AD13)</f>
        <v>7167</v>
      </c>
      <c r="AE14" s="8">
        <f>SUM(AE5:AE13)</f>
        <v>886</v>
      </c>
      <c r="AF14" s="17">
        <f>AE14/AD14</f>
        <v>0.12362215710897168</v>
      </c>
      <c r="AG14" s="8">
        <f>SUM(AG5:AG13)</f>
        <v>5024</v>
      </c>
      <c r="AH14" s="8">
        <f>SUM(AH5:AH13)</f>
        <v>1528</v>
      </c>
      <c r="AI14" s="16">
        <f>AH14/AG14</f>
        <v>0.30414012738853502</v>
      </c>
      <c r="AJ14" s="8">
        <f>SUM(AJ5:AJ13)</f>
        <v>9039</v>
      </c>
      <c r="AK14" s="8">
        <f>SUM(AK5:AK13)</f>
        <v>1141</v>
      </c>
      <c r="AL14" s="16">
        <f t="shared" si="14"/>
        <v>0.12623077774090055</v>
      </c>
      <c r="AM14" s="8">
        <f>SUM(AM5:AM13)</f>
        <v>18068</v>
      </c>
      <c r="AN14" s="8">
        <f>SUM(AN5:AN13)</f>
        <v>9085</v>
      </c>
      <c r="AO14" s="16">
        <f t="shared" si="15"/>
        <v>0.50282266991365954</v>
      </c>
    </row>
    <row r="15" spans="1:41" ht="14.5" hidden="1" customHeight="1" x14ac:dyDescent="0.35">
      <c r="C15" s="23">
        <v>341</v>
      </c>
      <c r="E15" s="20">
        <v>353</v>
      </c>
      <c r="G15" s="20">
        <v>339</v>
      </c>
      <c r="I15" s="15">
        <v>361</v>
      </c>
      <c r="L15" s="15">
        <v>415</v>
      </c>
      <c r="N15" s="15">
        <v>425</v>
      </c>
      <c r="P15" s="15">
        <v>340</v>
      </c>
      <c r="R15" s="15">
        <v>247</v>
      </c>
      <c r="T15" s="15">
        <v>385</v>
      </c>
      <c r="W15" s="15">
        <v>547</v>
      </c>
      <c r="Y15" s="15">
        <v>544</v>
      </c>
      <c r="AB15" s="15">
        <v>390</v>
      </c>
      <c r="AE15" s="15">
        <v>170</v>
      </c>
      <c r="AH15" s="15">
        <v>428</v>
      </c>
      <c r="AK15" s="15">
        <v>293</v>
      </c>
      <c r="AN15" s="15">
        <v>1860</v>
      </c>
    </row>
    <row r="16" spans="1:41" ht="14.5" hidden="1" customHeight="1" x14ac:dyDescent="0.35">
      <c r="A16" s="20" t="s">
        <v>35</v>
      </c>
      <c r="C16" s="20">
        <v>24</v>
      </c>
      <c r="E16" s="20">
        <v>23</v>
      </c>
      <c r="G16" s="20">
        <v>24</v>
      </c>
      <c r="I16" s="20">
        <v>23</v>
      </c>
      <c r="L16" s="20">
        <v>33</v>
      </c>
      <c r="N16" s="20">
        <v>33</v>
      </c>
      <c r="P16" s="20">
        <v>21</v>
      </c>
      <c r="R16" s="20">
        <v>20</v>
      </c>
      <c r="T16" s="20">
        <v>28</v>
      </c>
      <c r="W16" s="20">
        <v>47</v>
      </c>
      <c r="Y16" s="20">
        <v>47</v>
      </c>
      <c r="AB16" s="20">
        <v>32</v>
      </c>
      <c r="AE16" s="20">
        <v>11</v>
      </c>
      <c r="AH16" s="20">
        <v>4</v>
      </c>
      <c r="AK16" s="20">
        <v>10</v>
      </c>
      <c r="AN16" s="20">
        <v>2</v>
      </c>
    </row>
    <row r="17" spans="1:10" s="25" customFormat="1" x14ac:dyDescent="0.35">
      <c r="A17" s="78" t="s">
        <v>38</v>
      </c>
      <c r="B17" s="78"/>
      <c r="C17" s="78"/>
      <c r="D17" s="78"/>
      <c r="E17" s="78"/>
      <c r="F17" s="78"/>
      <c r="G17" s="78"/>
      <c r="H17" s="78"/>
      <c r="I17" s="78"/>
      <c r="J17" s="78"/>
    </row>
    <row r="18" spans="1:10" s="25" customFormat="1" x14ac:dyDescent="0.35">
      <c r="A18" s="78" t="s">
        <v>39</v>
      </c>
      <c r="B18" s="78"/>
      <c r="C18" s="78"/>
      <c r="D18" s="78"/>
      <c r="E18" s="78"/>
      <c r="F18" s="78"/>
      <c r="G18" s="78"/>
      <c r="H18" s="78"/>
      <c r="I18" s="78"/>
      <c r="J18" s="78"/>
    </row>
    <row r="19" spans="1:10" s="25" customFormat="1" x14ac:dyDescent="0.35"/>
    <row r="20" spans="1:10" s="25" customFormat="1" x14ac:dyDescent="0.35"/>
    <row r="21" spans="1:10" s="25" customFormat="1" x14ac:dyDescent="0.35"/>
    <row r="22" spans="1:10" s="25" customFormat="1" x14ac:dyDescent="0.35"/>
    <row r="23" spans="1:10" s="25" customFormat="1" x14ac:dyDescent="0.35"/>
    <row r="24" spans="1:10" s="25" customFormat="1" x14ac:dyDescent="0.35"/>
    <row r="25" spans="1:10" s="25" customFormat="1" x14ac:dyDescent="0.35"/>
    <row r="26" spans="1:10" s="25" customFormat="1" x14ac:dyDescent="0.35"/>
    <row r="27" spans="1:10" s="25" customFormat="1" x14ac:dyDescent="0.35"/>
    <row r="28" spans="1:10" s="25" customFormat="1" x14ac:dyDescent="0.35"/>
    <row r="29" spans="1:10" s="25" customFormat="1" x14ac:dyDescent="0.35"/>
    <row r="30" spans="1:10" s="25" customFormat="1" x14ac:dyDescent="0.35"/>
    <row r="31" spans="1:10" s="25" customFormat="1" x14ac:dyDescent="0.35"/>
    <row r="32" spans="1:10" s="25" customFormat="1" x14ac:dyDescent="0.35"/>
    <row r="33" s="25" customFormat="1" x14ac:dyDescent="0.35"/>
    <row r="34" s="25" customFormat="1" x14ac:dyDescent="0.35"/>
  </sheetData>
  <mergeCells count="33">
    <mergeCell ref="A1:AO1"/>
    <mergeCell ref="A17:J17"/>
    <mergeCell ref="A18:J18"/>
    <mergeCell ref="AK3:AL3"/>
    <mergeCell ref="AN3:AO3"/>
    <mergeCell ref="V3:V4"/>
    <mergeCell ref="AM3:AM4"/>
    <mergeCell ref="AJ2:AO2"/>
    <mergeCell ref="AG3:AG4"/>
    <mergeCell ref="A2:A4"/>
    <mergeCell ref="B3:B4"/>
    <mergeCell ref="K3:K4"/>
    <mergeCell ref="C3:D3"/>
    <mergeCell ref="B2:J2"/>
    <mergeCell ref="K2:U2"/>
    <mergeCell ref="W3:X3"/>
    <mergeCell ref="AD2:AI2"/>
    <mergeCell ref="AE3:AF3"/>
    <mergeCell ref="AB3:AC3"/>
    <mergeCell ref="AH3:AI3"/>
    <mergeCell ref="Y3:Z3"/>
    <mergeCell ref="V2:Z2"/>
    <mergeCell ref="AA2:AC2"/>
    <mergeCell ref="AA3:AA4"/>
    <mergeCell ref="E3:F3"/>
    <mergeCell ref="R3:S3"/>
    <mergeCell ref="I3:J3"/>
    <mergeCell ref="AJ3:AJ4"/>
    <mergeCell ref="T3:U3"/>
    <mergeCell ref="AD3:AD4"/>
    <mergeCell ref="G3:H3"/>
    <mergeCell ref="N3:Q3"/>
    <mergeCell ref="L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E7CF-5298-4567-8181-43F9D868607A}">
  <dimension ref="A1:Z44"/>
  <sheetViews>
    <sheetView topLeftCell="A18" workbookViewId="0">
      <selection activeCell="A24" sqref="A24:U40"/>
    </sheetView>
  </sheetViews>
  <sheetFormatPr baseColWidth="10" defaultRowHeight="14.5" x14ac:dyDescent="0.35"/>
  <cols>
    <col min="1" max="1" width="15.81640625" customWidth="1"/>
    <col min="2" max="2" width="6.1796875" style="31" customWidth="1"/>
    <col min="3" max="3" width="6.1796875" customWidth="1"/>
    <col min="4" max="4" width="7.08984375" customWidth="1"/>
    <col min="5" max="5" width="6.1796875" customWidth="1"/>
    <col min="6" max="6" width="6.7265625" customWidth="1"/>
    <col min="7" max="7" width="6.1796875" customWidth="1"/>
    <col min="8" max="8" width="7.1796875" customWidth="1"/>
    <col min="9" max="9" width="6.81640625" customWidth="1"/>
    <col min="10" max="10" width="7.08984375" customWidth="1"/>
    <col min="11" max="11" width="5.7265625" customWidth="1"/>
    <col min="12" max="12" width="6.81640625" customWidth="1"/>
    <col min="13" max="13" width="7.6328125" customWidth="1"/>
    <col min="14" max="14" width="6.36328125" customWidth="1"/>
    <col min="15" max="15" width="7.26953125" customWidth="1"/>
    <col min="16" max="16" width="6.54296875" customWidth="1"/>
    <col min="17" max="17" width="8.90625" customWidth="1"/>
    <col min="18" max="18" width="7.81640625" customWidth="1"/>
    <col min="19" max="19" width="6.54296875" customWidth="1"/>
    <col min="20" max="20" width="6.08984375" customWidth="1"/>
    <col min="21" max="21" width="7.26953125" customWidth="1"/>
    <col min="22" max="22" width="5.90625" customWidth="1"/>
    <col min="23" max="23" width="6.81640625" customWidth="1"/>
    <col min="24" max="24" width="6.6328125" customWidth="1"/>
    <col min="25" max="25" width="6.08984375" customWidth="1"/>
    <col min="26" max="26" width="7.36328125" customWidth="1"/>
  </cols>
  <sheetData>
    <row r="1" spans="1:26" s="32" customFormat="1" x14ac:dyDescent="0.35">
      <c r="A1" s="45" t="s">
        <v>43</v>
      </c>
      <c r="B1" s="46"/>
      <c r="C1" s="45"/>
      <c r="D1" s="45"/>
      <c r="E1" s="94" t="s">
        <v>37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s="32" customFormat="1" ht="5.5" customHeight="1" x14ac:dyDescent="0.35">
      <c r="A2" s="45"/>
      <c r="B2" s="46"/>
      <c r="C2" s="45"/>
      <c r="D2" s="45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14.5" customHeight="1" x14ac:dyDescent="0.35">
      <c r="A3" s="38"/>
      <c r="B3" s="39" t="s">
        <v>40</v>
      </c>
      <c r="D3" s="32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14.5" customHeight="1" x14ac:dyDescent="0.4">
      <c r="A4" s="40"/>
      <c r="B4" s="41" t="s">
        <v>41</v>
      </c>
      <c r="C4" s="32"/>
      <c r="D4" s="32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14.5" customHeight="1" x14ac:dyDescent="0.4">
      <c r="A5" s="42"/>
      <c r="B5" s="41" t="s">
        <v>42</v>
      </c>
      <c r="D5" s="32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s="32" customFormat="1" ht="9" customHeight="1" x14ac:dyDescent="0.4">
      <c r="A6" s="43"/>
      <c r="B6" s="44"/>
      <c r="C6" s="41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x14ac:dyDescent="0.35">
      <c r="A7" s="86" t="s">
        <v>36</v>
      </c>
      <c r="B7" s="57" t="s">
        <v>0</v>
      </c>
      <c r="C7" s="93"/>
      <c r="D7" s="93"/>
      <c r="E7" s="93"/>
      <c r="F7" s="93"/>
      <c r="G7" s="93"/>
      <c r="H7" s="93"/>
      <c r="I7" s="93"/>
      <c r="J7" s="58"/>
      <c r="K7" s="59" t="s">
        <v>1</v>
      </c>
      <c r="L7" s="73"/>
      <c r="M7" s="73"/>
      <c r="N7" s="73"/>
      <c r="O7" s="73"/>
      <c r="P7" s="73"/>
      <c r="Q7" s="73"/>
      <c r="R7" s="73"/>
      <c r="S7" s="73"/>
      <c r="T7" s="73"/>
      <c r="U7" s="60"/>
      <c r="V7" s="70" t="s">
        <v>2</v>
      </c>
      <c r="W7" s="72"/>
      <c r="X7" s="72"/>
      <c r="Y7" s="72"/>
      <c r="Z7" s="71"/>
    </row>
    <row r="8" spans="1:26" x14ac:dyDescent="0.35">
      <c r="A8" s="87"/>
      <c r="B8" s="89" t="s">
        <v>22</v>
      </c>
      <c r="C8" s="57" t="s">
        <v>7</v>
      </c>
      <c r="D8" s="58"/>
      <c r="E8" s="57" t="s">
        <v>8</v>
      </c>
      <c r="F8" s="58"/>
      <c r="G8" s="57" t="s">
        <v>9</v>
      </c>
      <c r="H8" s="58"/>
      <c r="I8" s="57" t="s">
        <v>10</v>
      </c>
      <c r="J8" s="58"/>
      <c r="K8" s="91" t="s">
        <v>22</v>
      </c>
      <c r="L8" s="59" t="s">
        <v>11</v>
      </c>
      <c r="M8" s="60"/>
      <c r="N8" s="59" t="s">
        <v>12</v>
      </c>
      <c r="O8" s="73"/>
      <c r="P8" s="73"/>
      <c r="Q8" s="60"/>
      <c r="R8" s="59" t="s">
        <v>13</v>
      </c>
      <c r="S8" s="60"/>
      <c r="T8" s="59" t="s">
        <v>7</v>
      </c>
      <c r="U8" s="60"/>
      <c r="V8" s="81" t="s">
        <v>22</v>
      </c>
      <c r="W8" s="70" t="s">
        <v>13</v>
      </c>
      <c r="X8" s="71"/>
      <c r="Y8" s="70" t="s">
        <v>14</v>
      </c>
      <c r="Z8" s="71"/>
    </row>
    <row r="9" spans="1:26" ht="27.5" customHeight="1" x14ac:dyDescent="0.35">
      <c r="A9" s="88"/>
      <c r="B9" s="90"/>
      <c r="C9" s="2" t="s">
        <v>16</v>
      </c>
      <c r="D9" s="2" t="s">
        <v>33</v>
      </c>
      <c r="E9" s="2" t="s">
        <v>17</v>
      </c>
      <c r="F9" s="2" t="s">
        <v>33</v>
      </c>
      <c r="G9" s="2" t="s">
        <v>16</v>
      </c>
      <c r="H9" s="2" t="s">
        <v>33</v>
      </c>
      <c r="I9" s="2" t="s">
        <v>17</v>
      </c>
      <c r="J9" s="2" t="s">
        <v>33</v>
      </c>
      <c r="K9" s="92"/>
      <c r="L9" s="1" t="s">
        <v>16</v>
      </c>
      <c r="M9" s="1" t="s">
        <v>33</v>
      </c>
      <c r="N9" s="1" t="s">
        <v>18</v>
      </c>
      <c r="O9" s="1" t="s">
        <v>33</v>
      </c>
      <c r="P9" s="1" t="s">
        <v>17</v>
      </c>
      <c r="Q9" s="1" t="s">
        <v>33</v>
      </c>
      <c r="R9" s="1" t="s">
        <v>20</v>
      </c>
      <c r="S9" s="1" t="s">
        <v>33</v>
      </c>
      <c r="T9" s="1" t="s">
        <v>20</v>
      </c>
      <c r="U9" s="1" t="s">
        <v>33</v>
      </c>
      <c r="V9" s="82"/>
      <c r="W9" s="3" t="s">
        <v>21</v>
      </c>
      <c r="X9" s="3" t="s">
        <v>33</v>
      </c>
      <c r="Y9" s="3" t="s">
        <v>21</v>
      </c>
      <c r="Z9" s="3" t="s">
        <v>33</v>
      </c>
    </row>
    <row r="10" spans="1:26" x14ac:dyDescent="0.35">
      <c r="A10" s="7" t="s">
        <v>23</v>
      </c>
      <c r="B10" s="9">
        <v>442</v>
      </c>
      <c r="C10" s="26">
        <v>113</v>
      </c>
      <c r="D10" s="37">
        <f>C10/B10</f>
        <v>0.25565610859728505</v>
      </c>
      <c r="E10" s="26">
        <v>116</v>
      </c>
      <c r="F10" s="37">
        <f>E10/B10</f>
        <v>0.26244343891402716</v>
      </c>
      <c r="G10" s="26">
        <v>113</v>
      </c>
      <c r="H10" s="37">
        <f>G10/B10</f>
        <v>0.25565610859728505</v>
      </c>
      <c r="I10" s="26">
        <v>118</v>
      </c>
      <c r="J10" s="37">
        <f>I10/B10</f>
        <v>0.2669683257918552</v>
      </c>
      <c r="K10" s="26">
        <v>595</v>
      </c>
      <c r="L10" s="26">
        <v>144</v>
      </c>
      <c r="M10" s="37">
        <f>L10/K10</f>
        <v>0.24201680672268908</v>
      </c>
      <c r="N10" s="26">
        <v>145</v>
      </c>
      <c r="O10" s="37">
        <f>N10/K10</f>
        <v>0.24369747899159663</v>
      </c>
      <c r="P10" s="26">
        <v>143</v>
      </c>
      <c r="Q10" s="37">
        <f>P10/K10</f>
        <v>0.24033613445378152</v>
      </c>
      <c r="R10" s="26">
        <v>111</v>
      </c>
      <c r="S10" s="37">
        <f>R10/K10</f>
        <v>0.1865546218487395</v>
      </c>
      <c r="T10" s="26">
        <v>153</v>
      </c>
      <c r="U10" s="37">
        <f>T10/K10</f>
        <v>0.25714285714285712</v>
      </c>
      <c r="V10" s="26">
        <v>734</v>
      </c>
      <c r="W10" s="26">
        <v>194</v>
      </c>
      <c r="X10" s="37">
        <f>W10/V10</f>
        <v>0.26430517711171664</v>
      </c>
      <c r="Y10" s="26">
        <v>191</v>
      </c>
      <c r="Z10" s="37">
        <f>Y10/V10</f>
        <v>0.26021798365122617</v>
      </c>
    </row>
    <row r="11" spans="1:26" x14ac:dyDescent="0.35">
      <c r="A11" s="7" t="s">
        <v>24</v>
      </c>
      <c r="B11" s="9">
        <v>635</v>
      </c>
      <c r="C11" s="26">
        <v>185</v>
      </c>
      <c r="D11" s="37">
        <f t="shared" ref="D11:D18" si="0">C11/B11</f>
        <v>0.29133858267716534</v>
      </c>
      <c r="E11" s="26">
        <v>187</v>
      </c>
      <c r="F11" s="37">
        <f t="shared" ref="F11:F18" si="1">E11/B11</f>
        <v>0.29448818897637796</v>
      </c>
      <c r="G11" s="26">
        <v>185</v>
      </c>
      <c r="H11" s="37">
        <f t="shared" ref="H11:H18" si="2">G11/B11</f>
        <v>0.29133858267716534</v>
      </c>
      <c r="I11" s="26">
        <v>185</v>
      </c>
      <c r="J11" s="37">
        <f t="shared" ref="J11:J18" si="3">I11/B11</f>
        <v>0.29133858267716534</v>
      </c>
      <c r="K11" s="26">
        <v>711</v>
      </c>
      <c r="L11" s="26">
        <v>203</v>
      </c>
      <c r="M11" s="37">
        <f t="shared" ref="M11:M18" si="4">L11/K11</f>
        <v>0.28551336146272854</v>
      </c>
      <c r="N11" s="26">
        <v>210</v>
      </c>
      <c r="O11" s="37">
        <f t="shared" ref="O11:O18" si="5">N11/K11</f>
        <v>0.29535864978902954</v>
      </c>
      <c r="P11" s="26">
        <v>162</v>
      </c>
      <c r="Q11" s="37">
        <f t="shared" ref="Q11:Q18" si="6">P11/K11</f>
        <v>0.22784810126582278</v>
      </c>
      <c r="R11" s="26">
        <v>130</v>
      </c>
      <c r="S11" s="37">
        <f t="shared" ref="S11:S18" si="7">R11/K11</f>
        <v>0.18284106891701829</v>
      </c>
      <c r="T11" s="26">
        <v>186</v>
      </c>
      <c r="U11" s="37">
        <f t="shared" ref="U11:U18" si="8">T11/K11</f>
        <v>0.26160337552742619</v>
      </c>
      <c r="V11" s="26">
        <v>806</v>
      </c>
      <c r="W11" s="26">
        <v>215</v>
      </c>
      <c r="X11" s="37">
        <f t="shared" ref="X11:X18" si="9">W11/V11</f>
        <v>0.26674937965260548</v>
      </c>
      <c r="Y11" s="26">
        <v>209</v>
      </c>
      <c r="Z11" s="37">
        <f t="shared" ref="Z11:Z18" si="10">Y11/V11</f>
        <v>0.25930521091811415</v>
      </c>
    </row>
    <row r="12" spans="1:26" x14ac:dyDescent="0.35">
      <c r="A12" s="7" t="s">
        <v>25</v>
      </c>
      <c r="B12" s="9">
        <v>130</v>
      </c>
      <c r="C12" s="26">
        <v>38</v>
      </c>
      <c r="D12" s="37">
        <f t="shared" si="0"/>
        <v>0.29230769230769232</v>
      </c>
      <c r="E12" s="26">
        <v>31</v>
      </c>
      <c r="F12" s="37">
        <f t="shared" si="1"/>
        <v>0.23846153846153847</v>
      </c>
      <c r="G12" s="26">
        <v>38</v>
      </c>
      <c r="H12" s="37">
        <f t="shared" si="2"/>
        <v>0.29230769230769232</v>
      </c>
      <c r="I12" s="26">
        <v>32</v>
      </c>
      <c r="J12" s="37">
        <f t="shared" si="3"/>
        <v>0.24615384615384617</v>
      </c>
      <c r="K12" s="26">
        <v>161</v>
      </c>
      <c r="L12" s="26">
        <v>44</v>
      </c>
      <c r="M12" s="37">
        <f t="shared" si="4"/>
        <v>0.27329192546583853</v>
      </c>
      <c r="N12" s="26">
        <v>45</v>
      </c>
      <c r="O12" s="37">
        <f t="shared" si="5"/>
        <v>0.27950310559006208</v>
      </c>
      <c r="P12" s="26">
        <v>43</v>
      </c>
      <c r="Q12" s="37">
        <f t="shared" si="6"/>
        <v>0.26708074534161491</v>
      </c>
      <c r="R12" s="26">
        <v>30</v>
      </c>
      <c r="S12" s="37">
        <f t="shared" si="7"/>
        <v>0.18633540372670807</v>
      </c>
      <c r="T12" s="26">
        <v>44</v>
      </c>
      <c r="U12" s="37">
        <f t="shared" si="8"/>
        <v>0.27329192546583853</v>
      </c>
      <c r="V12" s="26">
        <v>221</v>
      </c>
      <c r="W12" s="26">
        <v>69</v>
      </c>
      <c r="X12" s="37">
        <f t="shared" si="9"/>
        <v>0.31221719457013575</v>
      </c>
      <c r="Y12" s="26">
        <v>69</v>
      </c>
      <c r="Z12" s="37">
        <f t="shared" si="10"/>
        <v>0.31221719457013575</v>
      </c>
    </row>
    <row r="13" spans="1:26" x14ac:dyDescent="0.35">
      <c r="A13" s="7" t="s">
        <v>26</v>
      </c>
      <c r="B13" s="9">
        <v>402</v>
      </c>
      <c r="C13" s="26">
        <v>141</v>
      </c>
      <c r="D13" s="37">
        <f t="shared" si="0"/>
        <v>0.35074626865671643</v>
      </c>
      <c r="E13" s="26">
        <v>127</v>
      </c>
      <c r="F13" s="37">
        <f t="shared" si="1"/>
        <v>0.31592039800995025</v>
      </c>
      <c r="G13" s="26">
        <v>142</v>
      </c>
      <c r="H13" s="37">
        <f t="shared" si="2"/>
        <v>0.35323383084577115</v>
      </c>
      <c r="I13" s="26">
        <v>127</v>
      </c>
      <c r="J13" s="37">
        <f t="shared" si="3"/>
        <v>0.31592039800995025</v>
      </c>
      <c r="K13" s="26">
        <v>489</v>
      </c>
      <c r="L13" s="26">
        <v>140</v>
      </c>
      <c r="M13" s="37">
        <f t="shared" si="4"/>
        <v>0.28629856850715746</v>
      </c>
      <c r="N13" s="26">
        <v>146</v>
      </c>
      <c r="O13" s="37">
        <f t="shared" si="5"/>
        <v>0.29856850715746419</v>
      </c>
      <c r="P13" s="26">
        <v>116</v>
      </c>
      <c r="Q13" s="37">
        <f t="shared" si="6"/>
        <v>0.23721881390593047</v>
      </c>
      <c r="R13" s="26">
        <v>93</v>
      </c>
      <c r="S13" s="37">
        <f t="shared" si="7"/>
        <v>0.19018404907975461</v>
      </c>
      <c r="T13" s="26">
        <v>114</v>
      </c>
      <c r="U13" s="37">
        <f t="shared" si="8"/>
        <v>0.23312883435582821</v>
      </c>
      <c r="V13" s="26">
        <v>676</v>
      </c>
      <c r="W13" s="26">
        <v>169</v>
      </c>
      <c r="X13" s="37">
        <f t="shared" si="9"/>
        <v>0.25</v>
      </c>
      <c r="Y13" s="26">
        <v>172</v>
      </c>
      <c r="Z13" s="37">
        <f t="shared" si="10"/>
        <v>0.25443786982248523</v>
      </c>
    </row>
    <row r="14" spans="1:26" x14ac:dyDescent="0.35">
      <c r="A14" s="7" t="s">
        <v>28</v>
      </c>
      <c r="B14" s="9">
        <v>132</v>
      </c>
      <c r="C14" s="26">
        <v>60</v>
      </c>
      <c r="D14" s="37">
        <f t="shared" si="0"/>
        <v>0.45454545454545453</v>
      </c>
      <c r="E14" s="26">
        <v>56</v>
      </c>
      <c r="F14" s="37">
        <f t="shared" si="1"/>
        <v>0.42424242424242425</v>
      </c>
      <c r="G14" s="26">
        <v>60</v>
      </c>
      <c r="H14" s="37">
        <f t="shared" si="2"/>
        <v>0.45454545454545453</v>
      </c>
      <c r="I14" s="26">
        <v>56</v>
      </c>
      <c r="J14" s="37">
        <f t="shared" si="3"/>
        <v>0.42424242424242425</v>
      </c>
      <c r="K14" s="26">
        <v>167</v>
      </c>
      <c r="L14" s="26">
        <v>45</v>
      </c>
      <c r="M14" s="37">
        <f t="shared" si="4"/>
        <v>0.26946107784431139</v>
      </c>
      <c r="N14" s="26">
        <v>46</v>
      </c>
      <c r="O14" s="37">
        <f t="shared" si="5"/>
        <v>0.27544910179640719</v>
      </c>
      <c r="P14" s="26">
        <v>33</v>
      </c>
      <c r="Q14" s="37">
        <f t="shared" si="6"/>
        <v>0.19760479041916168</v>
      </c>
      <c r="R14" s="26">
        <v>18</v>
      </c>
      <c r="S14" s="37">
        <f t="shared" si="7"/>
        <v>0.10778443113772455</v>
      </c>
      <c r="T14" s="26">
        <v>36</v>
      </c>
      <c r="U14" s="37">
        <f t="shared" si="8"/>
        <v>0.21556886227544911</v>
      </c>
      <c r="V14" s="26">
        <v>255</v>
      </c>
      <c r="W14" s="26">
        <v>87</v>
      </c>
      <c r="X14" s="37">
        <f t="shared" si="9"/>
        <v>0.3411764705882353</v>
      </c>
      <c r="Y14" s="26">
        <v>86</v>
      </c>
      <c r="Z14" s="37">
        <f t="shared" si="10"/>
        <v>0.33725490196078434</v>
      </c>
    </row>
    <row r="15" spans="1:26" x14ac:dyDescent="0.35">
      <c r="A15" s="7" t="s">
        <v>29</v>
      </c>
      <c r="B15" s="9">
        <v>945</v>
      </c>
      <c r="C15" s="26">
        <v>305</v>
      </c>
      <c r="D15" s="37">
        <f t="shared" si="0"/>
        <v>0.32275132275132273</v>
      </c>
      <c r="E15" s="26">
        <v>315</v>
      </c>
      <c r="F15" s="37">
        <f t="shared" si="1"/>
        <v>0.33333333333333331</v>
      </c>
      <c r="G15" s="26">
        <v>306</v>
      </c>
      <c r="H15" s="37">
        <f t="shared" si="2"/>
        <v>0.32380952380952382</v>
      </c>
      <c r="I15" s="26">
        <v>321</v>
      </c>
      <c r="J15" s="37">
        <f t="shared" si="3"/>
        <v>0.3396825396825397</v>
      </c>
      <c r="K15" s="26">
        <v>1174</v>
      </c>
      <c r="L15" s="26">
        <v>345</v>
      </c>
      <c r="M15" s="37">
        <f t="shared" si="4"/>
        <v>0.29386712095400341</v>
      </c>
      <c r="N15" s="26">
        <v>349</v>
      </c>
      <c r="O15" s="37">
        <f t="shared" si="5"/>
        <v>0.29727427597955708</v>
      </c>
      <c r="P15" s="26">
        <v>305</v>
      </c>
      <c r="Q15" s="37">
        <f t="shared" si="6"/>
        <v>0.25979557069846676</v>
      </c>
      <c r="R15" s="26">
        <v>190</v>
      </c>
      <c r="S15" s="37">
        <f t="shared" si="7"/>
        <v>0.16183986371379896</v>
      </c>
      <c r="T15" s="26">
        <v>322</v>
      </c>
      <c r="U15" s="37">
        <f t="shared" si="8"/>
        <v>0.27427597955706984</v>
      </c>
      <c r="V15" s="26">
        <v>1562</v>
      </c>
      <c r="W15" s="26">
        <v>493</v>
      </c>
      <c r="X15" s="37">
        <f t="shared" si="9"/>
        <v>0.31562099871959026</v>
      </c>
      <c r="Y15" s="26">
        <v>481</v>
      </c>
      <c r="Z15" s="37">
        <f t="shared" si="10"/>
        <v>0.30793854033290652</v>
      </c>
    </row>
    <row r="16" spans="1:26" x14ac:dyDescent="0.35">
      <c r="A16" s="7" t="s">
        <v>34</v>
      </c>
      <c r="B16" s="9">
        <v>321</v>
      </c>
      <c r="C16" s="26">
        <v>48</v>
      </c>
      <c r="D16" s="37">
        <f t="shared" si="0"/>
        <v>0.14953271028037382</v>
      </c>
      <c r="E16" s="26">
        <v>52</v>
      </c>
      <c r="F16" s="37">
        <f t="shared" si="1"/>
        <v>0.16199376947040497</v>
      </c>
      <c r="G16" s="26">
        <v>49</v>
      </c>
      <c r="H16" s="37">
        <f t="shared" si="2"/>
        <v>0.15264797507788161</v>
      </c>
      <c r="I16" s="26">
        <v>52</v>
      </c>
      <c r="J16" s="37">
        <f t="shared" si="3"/>
        <v>0.16199376947040497</v>
      </c>
      <c r="K16" s="26">
        <v>327</v>
      </c>
      <c r="L16" s="26">
        <v>55</v>
      </c>
      <c r="M16" s="37">
        <f t="shared" si="4"/>
        <v>0.16819571865443425</v>
      </c>
      <c r="N16" s="26">
        <v>55</v>
      </c>
      <c r="O16" s="37">
        <f t="shared" si="5"/>
        <v>0.16819571865443425</v>
      </c>
      <c r="P16" s="26">
        <v>28</v>
      </c>
      <c r="Q16" s="37">
        <f t="shared" si="6"/>
        <v>8.5626911314984705E-2</v>
      </c>
      <c r="R16" s="26">
        <v>26</v>
      </c>
      <c r="S16" s="37">
        <f t="shared" si="7"/>
        <v>7.9510703363914373E-2</v>
      </c>
      <c r="T16" s="26">
        <v>43</v>
      </c>
      <c r="U16" s="37">
        <f t="shared" si="8"/>
        <v>0.13149847094801223</v>
      </c>
      <c r="V16" s="26">
        <v>436</v>
      </c>
      <c r="W16" s="26">
        <v>46</v>
      </c>
      <c r="X16" s="37">
        <f t="shared" si="9"/>
        <v>0.10550458715596331</v>
      </c>
      <c r="Y16" s="26">
        <v>45</v>
      </c>
      <c r="Z16" s="37">
        <f t="shared" si="10"/>
        <v>0.10321100917431193</v>
      </c>
    </row>
    <row r="17" spans="1:26" x14ac:dyDescent="0.35">
      <c r="A17" s="13" t="s">
        <v>27</v>
      </c>
      <c r="B17" s="29">
        <v>1222</v>
      </c>
      <c r="C17" s="27">
        <f>SUM(C19:C20)</f>
        <v>365</v>
      </c>
      <c r="D17" s="37">
        <f t="shared" si="0"/>
        <v>0.29869067103109659</v>
      </c>
      <c r="E17" s="27">
        <f>353+E20</f>
        <v>376</v>
      </c>
      <c r="F17" s="37">
        <f t="shared" si="1"/>
        <v>0.30769230769230771</v>
      </c>
      <c r="G17" s="27">
        <f>G19+G20</f>
        <v>363</v>
      </c>
      <c r="H17" s="37">
        <f t="shared" si="2"/>
        <v>0.29705400981996727</v>
      </c>
      <c r="I17" s="27">
        <f>I19+I20</f>
        <v>384</v>
      </c>
      <c r="J17" s="37">
        <f t="shared" si="3"/>
        <v>0.31423895253682488</v>
      </c>
      <c r="K17" s="27">
        <v>1482</v>
      </c>
      <c r="L17" s="27">
        <f>L19+L20</f>
        <v>448</v>
      </c>
      <c r="M17" s="37">
        <f t="shared" si="4"/>
        <v>0.30229419703103916</v>
      </c>
      <c r="N17" s="27">
        <f>N19+N20</f>
        <v>458</v>
      </c>
      <c r="O17" s="37">
        <f t="shared" si="5"/>
        <v>0.30904183535762481</v>
      </c>
      <c r="P17" s="27">
        <f>P19+P20</f>
        <v>361</v>
      </c>
      <c r="Q17" s="37">
        <f t="shared" si="6"/>
        <v>0.24358974358974358</v>
      </c>
      <c r="R17" s="27">
        <f>R19+R20</f>
        <v>267</v>
      </c>
      <c r="S17" s="37">
        <f t="shared" si="7"/>
        <v>0.18016194331983806</v>
      </c>
      <c r="T17" s="27">
        <f>T19+T20</f>
        <v>413</v>
      </c>
      <c r="U17" s="37">
        <f t="shared" si="8"/>
        <v>0.27867746288798922</v>
      </c>
      <c r="V17" s="27">
        <v>2023</v>
      </c>
      <c r="W17" s="27">
        <f>W19+W20</f>
        <v>594</v>
      </c>
      <c r="X17" s="37">
        <f t="shared" si="9"/>
        <v>0.29362333168561544</v>
      </c>
      <c r="Y17" s="27">
        <f>Y19+Y20</f>
        <v>591</v>
      </c>
      <c r="Z17" s="37">
        <f t="shared" si="10"/>
        <v>0.29214038556599109</v>
      </c>
    </row>
    <row r="18" spans="1:26" x14ac:dyDescent="0.35">
      <c r="A18" s="8" t="s">
        <v>30</v>
      </c>
      <c r="B18" s="30">
        <f>SUM(B10:B17)</f>
        <v>4229</v>
      </c>
      <c r="C18" s="28">
        <f>SUM(C10:C17)</f>
        <v>1255</v>
      </c>
      <c r="D18" s="37">
        <f t="shared" si="0"/>
        <v>0.29676046346654056</v>
      </c>
      <c r="E18" s="28">
        <f>SUM(E10:E17)</f>
        <v>1260</v>
      </c>
      <c r="F18" s="37">
        <f t="shared" si="1"/>
        <v>0.29794277606999292</v>
      </c>
      <c r="G18" s="28">
        <f>SUM(G10:G17)</f>
        <v>1256</v>
      </c>
      <c r="H18" s="37">
        <f t="shared" si="2"/>
        <v>0.29699692598723104</v>
      </c>
      <c r="I18" s="28">
        <f>SUM(I10:I17)</f>
        <v>1275</v>
      </c>
      <c r="J18" s="37">
        <f t="shared" si="3"/>
        <v>0.30148971388034995</v>
      </c>
      <c r="K18" s="28">
        <f>SUM(K10:K17)</f>
        <v>5106</v>
      </c>
      <c r="L18" s="28">
        <f>SUM(L10:L17)</f>
        <v>1424</v>
      </c>
      <c r="M18" s="37">
        <f t="shared" si="4"/>
        <v>0.2788875832354093</v>
      </c>
      <c r="N18" s="28">
        <f>SUM(N10:N17)</f>
        <v>1454</v>
      </c>
      <c r="O18" s="37">
        <f t="shared" si="5"/>
        <v>0.2847630238934587</v>
      </c>
      <c r="P18" s="28">
        <f>SUM(P10:P17)</f>
        <v>1191</v>
      </c>
      <c r="Q18" s="37">
        <f t="shared" si="6"/>
        <v>0.23325499412455933</v>
      </c>
      <c r="R18" s="28">
        <f>SUM(R10:R17)</f>
        <v>865</v>
      </c>
      <c r="S18" s="37">
        <f t="shared" si="7"/>
        <v>0.16940853897375638</v>
      </c>
      <c r="T18" s="28">
        <f>SUM(T10:T17)</f>
        <v>1311</v>
      </c>
      <c r="U18" s="37">
        <f t="shared" si="8"/>
        <v>0.25675675675675674</v>
      </c>
      <c r="V18" s="28">
        <f>SUM(V10:V17)</f>
        <v>6713</v>
      </c>
      <c r="W18" s="28">
        <f>SUM(W10:W17)</f>
        <v>1867</v>
      </c>
      <c r="X18" s="37">
        <f t="shared" si="9"/>
        <v>0.27811708625055864</v>
      </c>
      <c r="Y18" s="28">
        <f>SUM(Y10:Y17)</f>
        <v>1844</v>
      </c>
      <c r="Z18" s="37">
        <f t="shared" si="10"/>
        <v>0.27469089825711307</v>
      </c>
    </row>
    <row r="19" spans="1:26" hidden="1" x14ac:dyDescent="0.35">
      <c r="A19" s="20"/>
      <c r="B19" s="22"/>
      <c r="C19" s="23">
        <v>341</v>
      </c>
      <c r="D19" s="20"/>
      <c r="E19" s="20">
        <v>353</v>
      </c>
      <c r="F19" s="20"/>
      <c r="G19" s="20">
        <v>339</v>
      </c>
      <c r="H19" s="20"/>
      <c r="I19" s="15">
        <v>361</v>
      </c>
      <c r="J19" s="20"/>
      <c r="K19" s="20"/>
      <c r="L19" s="15">
        <v>415</v>
      </c>
      <c r="M19" s="20"/>
      <c r="N19" s="15">
        <v>425</v>
      </c>
      <c r="O19" s="20"/>
      <c r="P19" s="15">
        <v>340</v>
      </c>
      <c r="Q19" s="20"/>
      <c r="R19" s="15">
        <v>247</v>
      </c>
      <c r="S19" s="20"/>
      <c r="T19" s="15">
        <v>385</v>
      </c>
      <c r="U19" s="20"/>
      <c r="V19" s="20"/>
      <c r="W19" s="15">
        <v>547</v>
      </c>
      <c r="X19" s="20"/>
      <c r="Y19" s="15">
        <v>544</v>
      </c>
      <c r="Z19" s="20"/>
    </row>
    <row r="20" spans="1:26" hidden="1" x14ac:dyDescent="0.35">
      <c r="A20" s="20" t="s">
        <v>35</v>
      </c>
      <c r="B20" s="22"/>
      <c r="C20" s="20">
        <v>24</v>
      </c>
      <c r="D20" s="20"/>
      <c r="E20" s="20">
        <v>23</v>
      </c>
      <c r="F20" s="20"/>
      <c r="G20" s="20">
        <v>24</v>
      </c>
      <c r="H20" s="20"/>
      <c r="I20" s="20">
        <v>23</v>
      </c>
      <c r="J20" s="20"/>
      <c r="K20" s="20"/>
      <c r="L20" s="20">
        <v>33</v>
      </c>
      <c r="M20" s="20"/>
      <c r="N20" s="20">
        <v>33</v>
      </c>
      <c r="O20" s="20"/>
      <c r="P20" s="20">
        <v>21</v>
      </c>
      <c r="Q20" s="20"/>
      <c r="R20" s="20">
        <v>20</v>
      </c>
      <c r="S20" s="20"/>
      <c r="T20" s="20">
        <v>28</v>
      </c>
      <c r="U20" s="20"/>
      <c r="V20" s="20"/>
      <c r="W20" s="20">
        <v>47</v>
      </c>
      <c r="X20" s="20"/>
      <c r="Y20" s="20">
        <v>47</v>
      </c>
      <c r="Z20" s="20"/>
    </row>
    <row r="21" spans="1:26" x14ac:dyDescent="0.35">
      <c r="A21" s="78" t="s">
        <v>38</v>
      </c>
      <c r="B21" s="78"/>
      <c r="C21" s="78"/>
      <c r="D21" s="78"/>
      <c r="E21" s="78"/>
      <c r="F21" s="78"/>
      <c r="G21" s="78"/>
      <c r="H21" s="78"/>
      <c r="I21" s="78"/>
      <c r="J21" s="78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x14ac:dyDescent="0.35">
      <c r="A22" s="78" t="s">
        <v>39</v>
      </c>
      <c r="B22" s="78"/>
      <c r="C22" s="78"/>
      <c r="D22" s="78"/>
      <c r="E22" s="78"/>
      <c r="F22" s="78"/>
      <c r="G22" s="78"/>
      <c r="H22" s="78"/>
      <c r="I22" s="78"/>
      <c r="J22" s="78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s="32" customFormat="1" x14ac:dyDescent="0.35">
      <c r="B23" s="33"/>
    </row>
    <row r="24" spans="1:26" ht="14.5" customHeight="1" x14ac:dyDescent="0.35">
      <c r="A24" s="86" t="s">
        <v>36</v>
      </c>
      <c r="B24" s="68" t="s">
        <v>3</v>
      </c>
      <c r="C24" s="74"/>
      <c r="D24" s="69"/>
      <c r="E24" s="65" t="s">
        <v>4</v>
      </c>
      <c r="F24" s="66"/>
      <c r="G24" s="66"/>
      <c r="H24" s="66"/>
      <c r="I24" s="66"/>
      <c r="J24" s="67"/>
      <c r="K24" s="79" t="s">
        <v>5</v>
      </c>
      <c r="L24" s="85"/>
      <c r="M24" s="85"/>
      <c r="N24" s="85"/>
      <c r="O24" s="85"/>
      <c r="P24" s="80"/>
      <c r="Q24" s="32"/>
      <c r="R24" s="96" t="s">
        <v>43</v>
      </c>
      <c r="S24" s="96"/>
      <c r="T24" s="96"/>
      <c r="U24" s="32"/>
      <c r="V24" s="32"/>
      <c r="W24" s="32"/>
      <c r="X24" s="32"/>
    </row>
    <row r="25" spans="1:26" ht="14.5" customHeight="1" x14ac:dyDescent="0.35">
      <c r="A25" s="87"/>
      <c r="B25" s="75" t="s">
        <v>22</v>
      </c>
      <c r="C25" s="68" t="s">
        <v>6</v>
      </c>
      <c r="D25" s="69"/>
      <c r="E25" s="63" t="s">
        <v>22</v>
      </c>
      <c r="F25" s="65" t="s">
        <v>31</v>
      </c>
      <c r="G25" s="67"/>
      <c r="H25" s="63" t="s">
        <v>22</v>
      </c>
      <c r="I25" s="65" t="s">
        <v>32</v>
      </c>
      <c r="J25" s="67"/>
      <c r="K25" s="61" t="s">
        <v>22</v>
      </c>
      <c r="L25" s="79" t="s">
        <v>8</v>
      </c>
      <c r="M25" s="80"/>
      <c r="N25" s="83" t="s">
        <v>22</v>
      </c>
      <c r="O25" s="79" t="s">
        <v>15</v>
      </c>
      <c r="P25" s="80"/>
      <c r="Q25" s="32"/>
      <c r="R25" s="96"/>
      <c r="S25" s="96"/>
      <c r="T25" s="96"/>
      <c r="U25" s="32"/>
      <c r="V25" s="32"/>
      <c r="W25" s="32"/>
      <c r="X25" s="32"/>
    </row>
    <row r="26" spans="1:26" x14ac:dyDescent="0.35">
      <c r="A26" s="88"/>
      <c r="B26" s="76"/>
      <c r="C26" s="4" t="s">
        <v>19</v>
      </c>
      <c r="D26" s="4" t="s">
        <v>33</v>
      </c>
      <c r="E26" s="64"/>
      <c r="F26" s="5" t="s">
        <v>19</v>
      </c>
      <c r="G26" s="5" t="s">
        <v>33</v>
      </c>
      <c r="H26" s="64"/>
      <c r="I26" s="5" t="s">
        <v>19</v>
      </c>
      <c r="J26" s="5" t="s">
        <v>33</v>
      </c>
      <c r="K26" s="62"/>
      <c r="L26" s="6" t="s">
        <v>19</v>
      </c>
      <c r="M26" s="6" t="s">
        <v>33</v>
      </c>
      <c r="N26" s="84"/>
      <c r="O26" s="6" t="s">
        <v>19</v>
      </c>
      <c r="P26" s="6" t="s">
        <v>33</v>
      </c>
      <c r="Q26" s="32"/>
      <c r="R26" s="32"/>
      <c r="S26" s="32"/>
      <c r="T26" s="32"/>
      <c r="U26" s="32"/>
      <c r="V26" s="32"/>
      <c r="W26" s="32"/>
      <c r="X26" s="32"/>
    </row>
    <row r="27" spans="1:26" ht="20" x14ac:dyDescent="0.35">
      <c r="A27" s="7" t="s">
        <v>23</v>
      </c>
      <c r="B27" s="9">
        <v>338</v>
      </c>
      <c r="C27" s="9">
        <v>115</v>
      </c>
      <c r="D27" s="37">
        <f>C27/B27</f>
        <v>0.34023668639053256</v>
      </c>
      <c r="E27" s="9">
        <v>825</v>
      </c>
      <c r="F27" s="9">
        <v>137</v>
      </c>
      <c r="G27" s="37">
        <f>F27/E27</f>
        <v>0.16606060606060605</v>
      </c>
      <c r="H27" s="9">
        <v>546</v>
      </c>
      <c r="I27" s="9">
        <v>238</v>
      </c>
      <c r="J27" s="37">
        <f>I27/H27</f>
        <v>0.4358974358974359</v>
      </c>
      <c r="K27" s="9">
        <v>827</v>
      </c>
      <c r="L27" s="9">
        <v>144</v>
      </c>
      <c r="M27" s="37">
        <f>L27/K27</f>
        <v>0.17412333736396615</v>
      </c>
      <c r="N27" s="9">
        <v>1652</v>
      </c>
      <c r="O27" s="9">
        <v>821</v>
      </c>
      <c r="P27" s="37">
        <f>O27/N27</f>
        <v>0.49697336561743344</v>
      </c>
      <c r="Q27" s="32"/>
      <c r="R27" s="38"/>
      <c r="S27" s="39" t="s">
        <v>40</v>
      </c>
      <c r="T27" s="32"/>
      <c r="U27" s="32"/>
      <c r="V27" s="32"/>
      <c r="W27" s="32"/>
      <c r="X27" s="32"/>
    </row>
    <row r="28" spans="1:26" ht="20" x14ac:dyDescent="0.4">
      <c r="A28" s="7" t="s">
        <v>24</v>
      </c>
      <c r="B28" s="9">
        <v>587</v>
      </c>
      <c r="C28" s="9">
        <v>181</v>
      </c>
      <c r="D28" s="37">
        <f t="shared" ref="D28:D33" si="11">C28/B28</f>
        <v>0.30834752981260649</v>
      </c>
      <c r="E28" s="9">
        <v>1062</v>
      </c>
      <c r="F28" s="9">
        <v>155</v>
      </c>
      <c r="G28" s="37">
        <f t="shared" ref="G28:G33" si="12">F28/E28</f>
        <v>0.14595103578154425</v>
      </c>
      <c r="H28" s="9">
        <v>735</v>
      </c>
      <c r="I28" s="9">
        <v>229</v>
      </c>
      <c r="J28" s="37">
        <f t="shared" ref="J28:J36" si="13">I28/H28</f>
        <v>0.31156462585034012</v>
      </c>
      <c r="K28" s="9">
        <v>1189</v>
      </c>
      <c r="L28" s="9">
        <v>103</v>
      </c>
      <c r="M28" s="37">
        <f t="shared" ref="M28:M36" si="14">L28/K28</f>
        <v>8.6627417998317913E-2</v>
      </c>
      <c r="N28" s="9">
        <v>2384</v>
      </c>
      <c r="O28" s="9">
        <v>811</v>
      </c>
      <c r="P28" s="37">
        <f t="shared" ref="P28:P33" si="15">O28/N28</f>
        <v>0.34018456375838924</v>
      </c>
      <c r="Q28" s="32"/>
      <c r="R28" s="40"/>
      <c r="S28" s="41" t="s">
        <v>41</v>
      </c>
      <c r="T28" s="32"/>
      <c r="U28" s="32"/>
      <c r="V28" s="32"/>
      <c r="W28" s="32"/>
      <c r="X28" s="32"/>
    </row>
    <row r="29" spans="1:26" ht="20" x14ac:dyDescent="0.4">
      <c r="A29" s="7" t="s">
        <v>25</v>
      </c>
      <c r="B29" s="9">
        <v>83</v>
      </c>
      <c r="C29" s="9">
        <v>32</v>
      </c>
      <c r="D29" s="37">
        <f t="shared" si="11"/>
        <v>0.38554216867469882</v>
      </c>
      <c r="E29" s="9">
        <v>251</v>
      </c>
      <c r="F29" s="9">
        <v>39</v>
      </c>
      <c r="G29" s="37">
        <f t="shared" si="12"/>
        <v>0.15537848605577689</v>
      </c>
      <c r="H29" s="9">
        <v>184</v>
      </c>
      <c r="I29" s="9">
        <v>88</v>
      </c>
      <c r="J29" s="37">
        <f t="shared" si="13"/>
        <v>0.47826086956521741</v>
      </c>
      <c r="K29" s="9">
        <v>537</v>
      </c>
      <c r="L29" s="9">
        <v>48</v>
      </c>
      <c r="M29" s="37">
        <f t="shared" si="14"/>
        <v>8.9385474860335198E-2</v>
      </c>
      <c r="N29" s="9">
        <v>1074</v>
      </c>
      <c r="O29" s="9">
        <v>788</v>
      </c>
      <c r="P29" s="37">
        <f t="shared" si="15"/>
        <v>0.73370577281191807</v>
      </c>
      <c r="Q29" s="32"/>
      <c r="R29" s="42"/>
      <c r="S29" s="41" t="s">
        <v>42</v>
      </c>
      <c r="T29" s="32"/>
      <c r="U29" s="32"/>
      <c r="V29" s="32"/>
      <c r="W29" s="32"/>
      <c r="X29" s="32"/>
    </row>
    <row r="30" spans="1:26" x14ac:dyDescent="0.35">
      <c r="A30" s="7" t="s">
        <v>26</v>
      </c>
      <c r="B30" s="9">
        <v>321</v>
      </c>
      <c r="C30" s="9">
        <v>104</v>
      </c>
      <c r="D30" s="37">
        <f t="shared" si="11"/>
        <v>0.32398753894080995</v>
      </c>
      <c r="E30" s="9">
        <v>682</v>
      </c>
      <c r="F30" s="9">
        <v>75</v>
      </c>
      <c r="G30" s="37">
        <f t="shared" si="12"/>
        <v>0.10997067448680352</v>
      </c>
      <c r="H30" s="9">
        <v>476</v>
      </c>
      <c r="I30" s="9">
        <v>149</v>
      </c>
      <c r="J30" s="37">
        <f t="shared" si="13"/>
        <v>0.31302521008403361</v>
      </c>
      <c r="K30" s="9">
        <v>1076</v>
      </c>
      <c r="L30" s="9">
        <v>170</v>
      </c>
      <c r="M30" s="37">
        <f t="shared" si="14"/>
        <v>0.15799256505576209</v>
      </c>
      <c r="N30" s="9">
        <v>2145</v>
      </c>
      <c r="O30" s="9">
        <v>1259</v>
      </c>
      <c r="P30" s="37">
        <f t="shared" si="15"/>
        <v>0.5869463869463869</v>
      </c>
      <c r="Q30" s="32"/>
      <c r="R30" s="32"/>
      <c r="S30" s="32"/>
      <c r="T30" s="32"/>
      <c r="U30" s="32"/>
      <c r="V30" s="32"/>
      <c r="W30" s="32"/>
      <c r="X30" s="32"/>
    </row>
    <row r="31" spans="1:26" hidden="1" x14ac:dyDescent="0.35">
      <c r="B31" s="34"/>
      <c r="C31" s="34"/>
      <c r="D31" s="37" t="e">
        <f t="shared" si="11"/>
        <v>#DIV/0!</v>
      </c>
      <c r="E31" s="34"/>
      <c r="F31" s="34"/>
      <c r="G31" s="37" t="e">
        <f t="shared" si="12"/>
        <v>#DIV/0!</v>
      </c>
      <c r="H31" s="34"/>
      <c r="I31" s="34"/>
      <c r="J31" s="37" t="e">
        <f t="shared" si="13"/>
        <v>#DIV/0!</v>
      </c>
      <c r="K31" s="34"/>
      <c r="L31" s="34"/>
      <c r="M31" s="37" t="e">
        <f t="shared" si="14"/>
        <v>#DIV/0!</v>
      </c>
      <c r="N31" s="34"/>
      <c r="O31" s="34"/>
      <c r="P31" s="37" t="e">
        <f t="shared" si="15"/>
        <v>#DIV/0!</v>
      </c>
      <c r="Q31" s="32"/>
      <c r="R31" s="32"/>
      <c r="S31" s="32"/>
      <c r="T31" s="32"/>
      <c r="U31" s="32"/>
      <c r="V31" s="32"/>
      <c r="W31" s="32"/>
      <c r="X31" s="32"/>
    </row>
    <row r="32" spans="1:26" x14ac:dyDescent="0.35">
      <c r="A32" s="7" t="s">
        <v>28</v>
      </c>
      <c r="B32" s="9">
        <v>113</v>
      </c>
      <c r="C32" s="9">
        <v>41</v>
      </c>
      <c r="D32" s="37">
        <f t="shared" si="11"/>
        <v>0.36283185840707965</v>
      </c>
      <c r="E32" s="9">
        <v>269</v>
      </c>
      <c r="F32" s="9">
        <v>18</v>
      </c>
      <c r="G32" s="37">
        <f t="shared" si="12"/>
        <v>6.6914498141263934E-2</v>
      </c>
      <c r="H32" s="9">
        <v>241</v>
      </c>
      <c r="I32" s="9">
        <v>30</v>
      </c>
      <c r="J32" s="37">
        <f t="shared" si="13"/>
        <v>0.12448132780082988</v>
      </c>
      <c r="K32" s="9">
        <v>928</v>
      </c>
      <c r="L32" s="9">
        <v>33</v>
      </c>
      <c r="M32" s="37">
        <f t="shared" si="14"/>
        <v>3.5560344827586209E-2</v>
      </c>
      <c r="N32" s="9">
        <v>1858</v>
      </c>
      <c r="O32" s="9">
        <v>1160</v>
      </c>
      <c r="P32" s="37">
        <f t="shared" si="15"/>
        <v>0.62432723358449949</v>
      </c>
      <c r="Q32" s="32"/>
      <c r="R32" s="32"/>
      <c r="S32" s="32"/>
      <c r="T32" s="32"/>
      <c r="U32" s="32"/>
      <c r="V32" s="32"/>
      <c r="W32" s="32"/>
      <c r="X32" s="32"/>
    </row>
    <row r="33" spans="1:24" x14ac:dyDescent="0.35">
      <c r="A33" s="7" t="s">
        <v>29</v>
      </c>
      <c r="B33" s="9">
        <v>813</v>
      </c>
      <c r="C33" s="9">
        <v>273</v>
      </c>
      <c r="D33" s="37">
        <f t="shared" si="11"/>
        <v>0.33579335793357934</v>
      </c>
      <c r="E33" s="9">
        <v>1687</v>
      </c>
      <c r="F33" s="9">
        <v>269</v>
      </c>
      <c r="G33" s="37">
        <f t="shared" si="12"/>
        <v>0.15945465323058683</v>
      </c>
      <c r="H33" s="9">
        <v>1192</v>
      </c>
      <c r="I33" s="9">
        <v>342</v>
      </c>
      <c r="J33" s="37">
        <f t="shared" si="13"/>
        <v>0.28691275167785235</v>
      </c>
      <c r="K33" s="9">
        <v>1944</v>
      </c>
      <c r="L33" s="9">
        <v>308</v>
      </c>
      <c r="M33" s="37">
        <f t="shared" si="14"/>
        <v>0.15843621399176955</v>
      </c>
      <c r="N33" s="9">
        <v>3882</v>
      </c>
      <c r="O33" s="9">
        <v>2153</v>
      </c>
      <c r="P33" s="37">
        <f t="shared" si="15"/>
        <v>0.55461102524471917</v>
      </c>
      <c r="Q33" s="32"/>
      <c r="R33" s="32"/>
      <c r="S33" s="32"/>
      <c r="T33" s="32"/>
      <c r="U33" s="32"/>
      <c r="V33" s="32"/>
      <c r="W33" s="32"/>
      <c r="X33" s="32"/>
    </row>
    <row r="34" spans="1:24" x14ac:dyDescent="0.35">
      <c r="A34" s="7" t="s">
        <v>34</v>
      </c>
      <c r="B34" s="35"/>
      <c r="C34" s="9">
        <v>39</v>
      </c>
      <c r="D34" s="36"/>
      <c r="E34" s="35"/>
      <c r="F34" s="9">
        <v>12</v>
      </c>
      <c r="G34" s="36"/>
      <c r="H34" s="35"/>
      <c r="I34" s="9">
        <v>20</v>
      </c>
      <c r="J34" s="36"/>
      <c r="K34" s="35"/>
      <c r="L34" s="9">
        <v>32</v>
      </c>
      <c r="M34" s="36"/>
      <c r="N34" s="35"/>
      <c r="O34" s="9">
        <v>231</v>
      </c>
      <c r="P34" s="36"/>
      <c r="Q34" s="32"/>
      <c r="R34" s="32"/>
      <c r="S34" s="32"/>
      <c r="T34" s="32"/>
      <c r="U34" s="32"/>
      <c r="V34" s="32"/>
      <c r="W34" s="32"/>
      <c r="X34" s="32"/>
    </row>
    <row r="35" spans="1:24" x14ac:dyDescent="0.35">
      <c r="A35" s="13" t="s">
        <v>27</v>
      </c>
      <c r="B35" s="29">
        <v>1203</v>
      </c>
      <c r="C35" s="29">
        <f>C37+C38</f>
        <v>422</v>
      </c>
      <c r="D35" s="37">
        <f>C35/B35</f>
        <v>0.35078969243557773</v>
      </c>
      <c r="E35" s="29">
        <v>2391</v>
      </c>
      <c r="F35" s="29">
        <f>F37+F38</f>
        <v>181</v>
      </c>
      <c r="G35" s="37">
        <f>F35/E35</f>
        <v>7.570054370556252E-2</v>
      </c>
      <c r="H35" s="29">
        <v>1650</v>
      </c>
      <c r="I35" s="29">
        <f>I37+I38</f>
        <v>432</v>
      </c>
      <c r="J35" s="37">
        <f t="shared" si="13"/>
        <v>0.26181818181818184</v>
      </c>
      <c r="K35" s="29">
        <v>2538</v>
      </c>
      <c r="L35" s="29">
        <f>L37+L38</f>
        <v>303</v>
      </c>
      <c r="M35" s="37">
        <f t="shared" si="14"/>
        <v>0.11938534278959811</v>
      </c>
      <c r="N35" s="29">
        <v>5073</v>
      </c>
      <c r="O35" s="29">
        <f>O37+O38</f>
        <v>1862</v>
      </c>
      <c r="P35" s="37">
        <f t="shared" ref="P35:P36" si="16">O35/N35</f>
        <v>0.36704119850187267</v>
      </c>
      <c r="Q35" s="32"/>
      <c r="R35" s="32"/>
      <c r="S35" s="32"/>
      <c r="T35" s="32"/>
      <c r="U35" s="32"/>
      <c r="V35" s="32"/>
      <c r="W35" s="32"/>
      <c r="X35" s="32"/>
    </row>
    <row r="36" spans="1:24" x14ac:dyDescent="0.35">
      <c r="A36" s="8" t="s">
        <v>30</v>
      </c>
      <c r="B36" s="30">
        <f>SUM(B27:B35)</f>
        <v>3458</v>
      </c>
      <c r="C36" s="30">
        <f>SUM(C27:C35)</f>
        <v>1207</v>
      </c>
      <c r="D36" s="37">
        <f>C36/B36</f>
        <v>0.3490456911509543</v>
      </c>
      <c r="E36" s="30">
        <f>SUM(E27:E35)</f>
        <v>7167</v>
      </c>
      <c r="F36" s="30">
        <f>SUM(F27:F35)</f>
        <v>886</v>
      </c>
      <c r="G36" s="37">
        <f>F36/E36</f>
        <v>0.12362215710897168</v>
      </c>
      <c r="H36" s="30">
        <f>SUM(H27:H35)</f>
        <v>5024</v>
      </c>
      <c r="I36" s="30">
        <f>SUM(I27:I35)</f>
        <v>1528</v>
      </c>
      <c r="J36" s="37">
        <f t="shared" si="13"/>
        <v>0.30414012738853502</v>
      </c>
      <c r="K36" s="30">
        <f>SUM(K27:K35)</f>
        <v>9039</v>
      </c>
      <c r="L36" s="30">
        <f>SUM(L27:L35)</f>
        <v>1141</v>
      </c>
      <c r="M36" s="37">
        <f t="shared" si="14"/>
        <v>0.12623077774090055</v>
      </c>
      <c r="N36" s="30">
        <f>SUM(N27:N35)</f>
        <v>18068</v>
      </c>
      <c r="O36" s="30">
        <f>SUM(O27:O35)</f>
        <v>9085</v>
      </c>
      <c r="P36" s="37">
        <f t="shared" si="16"/>
        <v>0.50282266991365954</v>
      </c>
      <c r="Q36" s="32"/>
      <c r="R36" s="32"/>
      <c r="S36" s="32"/>
      <c r="T36" s="32"/>
      <c r="U36" s="32"/>
      <c r="V36" s="32"/>
      <c r="W36" s="32"/>
      <c r="X36" s="32"/>
    </row>
    <row r="37" spans="1:24" hidden="1" x14ac:dyDescent="0.35">
      <c r="B37" s="20"/>
      <c r="C37" s="15">
        <v>390</v>
      </c>
      <c r="D37" s="20"/>
      <c r="E37" s="20"/>
      <c r="F37" s="15">
        <v>170</v>
      </c>
      <c r="G37" s="20"/>
      <c r="H37" s="20"/>
      <c r="I37" s="15">
        <v>428</v>
      </c>
      <c r="J37" s="20"/>
      <c r="K37" s="20"/>
      <c r="L37" s="15">
        <v>293</v>
      </c>
      <c r="M37" s="20"/>
      <c r="N37" s="20"/>
      <c r="O37" s="15">
        <v>1860</v>
      </c>
      <c r="P37" s="20"/>
      <c r="Q37" s="32"/>
      <c r="R37" s="32"/>
      <c r="S37" s="32"/>
      <c r="T37" s="32"/>
      <c r="U37" s="32"/>
      <c r="V37" s="32"/>
      <c r="W37" s="32"/>
      <c r="X37" s="32"/>
    </row>
    <row r="38" spans="1:24" hidden="1" x14ac:dyDescent="0.35">
      <c r="B38" s="20"/>
      <c r="C38" s="20">
        <v>32</v>
      </c>
      <c r="D38" s="20"/>
      <c r="E38" s="20"/>
      <c r="F38" s="20">
        <v>11</v>
      </c>
      <c r="G38" s="20"/>
      <c r="H38" s="20"/>
      <c r="I38" s="20">
        <v>4</v>
      </c>
      <c r="J38" s="20"/>
      <c r="K38" s="20"/>
      <c r="L38" s="20">
        <v>10</v>
      </c>
      <c r="M38" s="20"/>
      <c r="N38" s="20"/>
      <c r="O38" s="20">
        <v>2</v>
      </c>
      <c r="P38" s="20"/>
      <c r="Q38" s="32"/>
      <c r="R38" s="32"/>
      <c r="S38" s="32"/>
      <c r="T38" s="32"/>
      <c r="U38" s="32"/>
      <c r="V38" s="32"/>
      <c r="W38" s="32"/>
      <c r="X38" s="32"/>
    </row>
    <row r="39" spans="1:24" x14ac:dyDescent="0.35">
      <c r="A39" s="78" t="s">
        <v>38</v>
      </c>
      <c r="B39" s="78"/>
      <c r="C39" s="78"/>
      <c r="D39" s="78"/>
      <c r="E39" s="78"/>
      <c r="F39" s="78"/>
      <c r="G39" s="78"/>
      <c r="H39" s="78"/>
      <c r="I39" s="78"/>
      <c r="J39" s="78"/>
      <c r="K39" s="25"/>
      <c r="L39" s="25"/>
      <c r="M39" s="25"/>
      <c r="N39" s="25"/>
      <c r="O39" s="25"/>
      <c r="P39" s="25"/>
      <c r="Q39" s="32"/>
      <c r="R39" s="32"/>
      <c r="S39" s="32"/>
      <c r="T39" s="32"/>
      <c r="U39" s="32"/>
      <c r="V39" s="32"/>
      <c r="W39" s="32"/>
      <c r="X39" s="32"/>
    </row>
    <row r="40" spans="1:24" x14ac:dyDescent="0.35">
      <c r="A40" s="78" t="s">
        <v>39</v>
      </c>
      <c r="B40" s="78"/>
      <c r="C40" s="78"/>
      <c r="D40" s="78"/>
      <c r="E40" s="78"/>
      <c r="F40" s="78"/>
      <c r="G40" s="78"/>
      <c r="H40" s="78"/>
      <c r="I40" s="78"/>
      <c r="J40" s="78"/>
      <c r="K40" s="25"/>
      <c r="L40" s="25"/>
      <c r="M40" s="25"/>
      <c r="N40" s="25"/>
      <c r="O40" s="25"/>
      <c r="P40" s="25"/>
      <c r="Q40" s="32"/>
      <c r="R40" s="32"/>
      <c r="S40" s="32"/>
      <c r="T40" s="32"/>
      <c r="U40" s="32"/>
      <c r="V40" s="32"/>
      <c r="W40" s="32"/>
      <c r="X40" s="32"/>
    </row>
    <row r="41" spans="1:24" x14ac:dyDescent="0.35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32"/>
      <c r="R41" s="32"/>
      <c r="S41" s="32"/>
      <c r="T41" s="32"/>
      <c r="U41" s="32"/>
      <c r="V41" s="32"/>
      <c r="W41" s="32"/>
      <c r="X41" s="32"/>
    </row>
    <row r="42" spans="1:24" x14ac:dyDescent="0.35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32"/>
      <c r="R42" s="32"/>
      <c r="S42" s="32"/>
      <c r="T42" s="32"/>
      <c r="U42" s="32"/>
      <c r="V42" s="32"/>
      <c r="W42" s="32"/>
      <c r="X42" s="32"/>
    </row>
    <row r="43" spans="1:24" x14ac:dyDescent="0.3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32"/>
      <c r="R43" s="32"/>
      <c r="S43" s="32"/>
      <c r="T43" s="32"/>
      <c r="U43" s="32"/>
      <c r="V43" s="32"/>
      <c r="W43" s="32"/>
      <c r="X43" s="32"/>
    </row>
    <row r="44" spans="1:24" x14ac:dyDescent="0.35">
      <c r="Q44" s="32"/>
      <c r="R44" s="32"/>
      <c r="S44" s="32"/>
      <c r="T44" s="32"/>
      <c r="U44" s="32"/>
      <c r="V44" s="32"/>
      <c r="W44" s="32"/>
      <c r="X44" s="32"/>
    </row>
  </sheetData>
  <mergeCells count="37">
    <mergeCell ref="E1:Z6"/>
    <mergeCell ref="O25:P25"/>
    <mergeCell ref="A39:J39"/>
    <mergeCell ref="A40:J40"/>
    <mergeCell ref="R24:T25"/>
    <mergeCell ref="V7:Z7"/>
    <mergeCell ref="F25:G25"/>
    <mergeCell ref="H25:H26"/>
    <mergeCell ref="I25:J25"/>
    <mergeCell ref="K25:K26"/>
    <mergeCell ref="L25:M25"/>
    <mergeCell ref="N25:N26"/>
    <mergeCell ref="Y8:Z8"/>
    <mergeCell ref="A21:J21"/>
    <mergeCell ref="A22:J22"/>
    <mergeCell ref="A24:A26"/>
    <mergeCell ref="B24:D24"/>
    <mergeCell ref="E24:J24"/>
    <mergeCell ref="K24:P24"/>
    <mergeCell ref="B25:B26"/>
    <mergeCell ref="C25:D25"/>
    <mergeCell ref="E25:E26"/>
    <mergeCell ref="W8:X8"/>
    <mergeCell ref="A7:A9"/>
    <mergeCell ref="B7:J7"/>
    <mergeCell ref="K7:U7"/>
    <mergeCell ref="B8:B9"/>
    <mergeCell ref="C8:D8"/>
    <mergeCell ref="E8:F8"/>
    <mergeCell ref="G8:H8"/>
    <mergeCell ref="I8:J8"/>
    <mergeCell ref="K8:K9"/>
    <mergeCell ref="L8:M8"/>
    <mergeCell ref="N8:Q8"/>
    <mergeCell ref="R8:S8"/>
    <mergeCell ref="T8:U8"/>
    <mergeCell ref="V8:V9"/>
  </mergeCells>
  <conditionalFormatting sqref="B3">
    <cfRule type="iconSet" priority="1">
      <iconSet>
        <cfvo type="percent" val="0"/>
        <cfvo type="num" val="0.1333"/>
        <cfvo type="num" val="0.1583"/>
      </iconSet>
    </cfRule>
  </conditionalFormatting>
  <conditionalFormatting sqref="B4">
    <cfRule type="iconSet" priority="3">
      <iconSet>
        <cfvo type="percent" val="0"/>
        <cfvo type="num" val="0.1333"/>
        <cfvo type="num" val="0.1583"/>
      </iconSet>
    </cfRule>
  </conditionalFormatting>
  <conditionalFormatting sqref="C6 B3:B5">
    <cfRule type="iconSet" priority="2">
      <iconSet>
        <cfvo type="percent" val="0"/>
        <cfvo type="num" val="0.1333"/>
        <cfvo type="num" val="0.158"/>
      </iconSet>
    </cfRule>
  </conditionalFormatting>
  <conditionalFormatting sqref="C6 B5">
    <cfRule type="iconSet" priority="4">
      <iconSet>
        <cfvo type="percent" val="0"/>
        <cfvo type="num" val="0.1333"/>
        <cfvo type="num" val="0.1583"/>
      </iconSet>
    </cfRule>
  </conditionalFormatting>
  <conditionalFormatting sqref="D10:D18">
    <cfRule type="iconSet" priority="29">
      <iconSet>
        <cfvo type="percent" val="0"/>
        <cfvo type="num" val="0.33"/>
        <cfvo type="num" val="0.41499999999999998"/>
      </iconSet>
    </cfRule>
  </conditionalFormatting>
  <conditionalFormatting sqref="D27:D33">
    <cfRule type="iconSet" priority="18">
      <iconSet>
        <cfvo type="percent" val="0"/>
        <cfvo type="num" val="0.33"/>
        <cfvo type="num" val="0.41499999999999998"/>
      </iconSet>
    </cfRule>
  </conditionalFormatting>
  <conditionalFormatting sqref="D35:D36">
    <cfRule type="iconSet" priority="17">
      <iconSet>
        <cfvo type="percent" val="0"/>
        <cfvo type="num" val="0.33"/>
        <cfvo type="num" val="0.41499999999999998"/>
      </iconSet>
    </cfRule>
  </conditionalFormatting>
  <conditionalFormatting sqref="F10:F18">
    <cfRule type="iconSet" priority="28">
      <iconSet>
        <cfvo type="percent" val="0"/>
        <cfvo type="num" val="0.33"/>
        <cfvo type="num" val="0.41499999999999998"/>
      </iconSet>
    </cfRule>
  </conditionalFormatting>
  <conditionalFormatting sqref="G27:G33">
    <cfRule type="iconSet" priority="16">
      <iconSet>
        <cfvo type="percent" val="0"/>
        <cfvo type="num" val="0.33"/>
        <cfvo type="num" val="0.41499999999999998"/>
      </iconSet>
    </cfRule>
  </conditionalFormatting>
  <conditionalFormatting sqref="G35:G36">
    <cfRule type="iconSet" priority="12">
      <iconSet>
        <cfvo type="percent" val="0"/>
        <cfvo type="num" val="0.33"/>
        <cfvo type="num" val="0.41499999999999998"/>
      </iconSet>
    </cfRule>
  </conditionalFormatting>
  <conditionalFormatting sqref="H10:H18">
    <cfRule type="iconSet" priority="27">
      <iconSet>
        <cfvo type="percent" val="0"/>
        <cfvo type="num" val="0.33"/>
        <cfvo type="num" val="0.41499999999999998"/>
      </iconSet>
    </cfRule>
  </conditionalFormatting>
  <conditionalFormatting sqref="J10:J18">
    <cfRule type="iconSet" priority="26">
      <iconSet>
        <cfvo type="percent" val="0"/>
        <cfvo type="num" val="0.33"/>
        <cfvo type="num" val="0.41499999999999998"/>
      </iconSet>
    </cfRule>
  </conditionalFormatting>
  <conditionalFormatting sqref="J27:J33">
    <cfRule type="iconSet" priority="15">
      <iconSet>
        <cfvo type="percent" val="0"/>
        <cfvo type="num" val="0.33"/>
        <cfvo type="num" val="0.41499999999999998"/>
      </iconSet>
    </cfRule>
  </conditionalFormatting>
  <conditionalFormatting sqref="J35:J36">
    <cfRule type="iconSet" priority="11">
      <iconSet>
        <cfvo type="percent" val="0"/>
        <cfvo type="num" val="0.33"/>
        <cfvo type="num" val="0.41499999999999998"/>
      </iconSet>
    </cfRule>
  </conditionalFormatting>
  <conditionalFormatting sqref="M10:M18">
    <cfRule type="iconSet" priority="25">
      <iconSet>
        <cfvo type="percent" val="0"/>
        <cfvo type="num" val="0.33"/>
        <cfvo type="num" val="0.41499999999999998"/>
      </iconSet>
    </cfRule>
  </conditionalFormatting>
  <conditionalFormatting sqref="M27:M33">
    <cfRule type="iconSet" priority="14">
      <iconSet>
        <cfvo type="percent" val="0"/>
        <cfvo type="num" val="0.33"/>
        <cfvo type="num" val="0.41499999999999998"/>
      </iconSet>
    </cfRule>
  </conditionalFormatting>
  <conditionalFormatting sqref="M35:M36">
    <cfRule type="iconSet" priority="10">
      <iconSet>
        <cfvo type="percent" val="0"/>
        <cfvo type="num" val="0.33"/>
        <cfvo type="num" val="0.41499999999999998"/>
      </iconSet>
    </cfRule>
  </conditionalFormatting>
  <conditionalFormatting sqref="O10:O18">
    <cfRule type="iconSet" priority="24">
      <iconSet>
        <cfvo type="percent" val="0"/>
        <cfvo type="num" val="0.33"/>
        <cfvo type="num" val="0.41499999999999998"/>
      </iconSet>
    </cfRule>
  </conditionalFormatting>
  <conditionalFormatting sqref="P27:P33">
    <cfRule type="iconSet" priority="13">
      <iconSet>
        <cfvo type="percent" val="0"/>
        <cfvo type="num" val="0.33"/>
        <cfvo type="num" val="0.41499999999999998"/>
      </iconSet>
    </cfRule>
  </conditionalFormatting>
  <conditionalFormatting sqref="P35:P36">
    <cfRule type="iconSet" priority="9">
      <iconSet>
        <cfvo type="percent" val="0"/>
        <cfvo type="num" val="0.33"/>
        <cfvo type="num" val="0.41499999999999998"/>
      </iconSet>
    </cfRule>
  </conditionalFormatting>
  <conditionalFormatting sqref="Q10:Q18">
    <cfRule type="iconSet" priority="23">
      <iconSet>
        <cfvo type="percent" val="0"/>
        <cfvo type="num" val="0.33"/>
        <cfvo type="num" val="0.41499999999999998"/>
      </iconSet>
    </cfRule>
  </conditionalFormatting>
  <conditionalFormatting sqref="S10:S18">
    <cfRule type="iconSet" priority="22">
      <iconSet>
        <cfvo type="percent" val="0"/>
        <cfvo type="num" val="0.33"/>
        <cfvo type="num" val="0.41499999999999998"/>
      </iconSet>
    </cfRule>
  </conditionalFormatting>
  <conditionalFormatting sqref="S27">
    <cfRule type="iconSet" priority="5">
      <iconSet>
        <cfvo type="percent" val="0"/>
        <cfvo type="num" val="0.1333"/>
        <cfvo type="num" val="0.1583"/>
      </iconSet>
    </cfRule>
  </conditionalFormatting>
  <conditionalFormatting sqref="S27:S29">
    <cfRule type="iconSet" priority="6">
      <iconSet>
        <cfvo type="percent" val="0"/>
        <cfvo type="num" val="0.1333"/>
        <cfvo type="num" val="0.158"/>
      </iconSet>
    </cfRule>
  </conditionalFormatting>
  <conditionalFormatting sqref="S28">
    <cfRule type="iconSet" priority="7">
      <iconSet>
        <cfvo type="percent" val="0"/>
        <cfvo type="num" val="0.1333"/>
        <cfvo type="num" val="0.1583"/>
      </iconSet>
    </cfRule>
  </conditionalFormatting>
  <conditionalFormatting sqref="S29">
    <cfRule type="iconSet" priority="8">
      <iconSet>
        <cfvo type="percent" val="0"/>
        <cfvo type="num" val="0.1333"/>
        <cfvo type="num" val="0.1583"/>
      </iconSet>
    </cfRule>
  </conditionalFormatting>
  <conditionalFormatting sqref="U10:U18">
    <cfRule type="iconSet" priority="21">
      <iconSet>
        <cfvo type="percent" val="0"/>
        <cfvo type="num" val="0.33"/>
        <cfvo type="num" val="0.41499999999999998"/>
      </iconSet>
    </cfRule>
  </conditionalFormatting>
  <conditionalFormatting sqref="X10:X18">
    <cfRule type="iconSet" priority="20">
      <iconSet>
        <cfvo type="percent" val="0"/>
        <cfvo type="num" val="0.33"/>
        <cfvo type="num" val="0.41499999999999998"/>
      </iconSet>
    </cfRule>
  </conditionalFormatting>
  <conditionalFormatting sqref="Z10:Z18">
    <cfRule type="iconSet" priority="19">
      <iconSet>
        <cfvo type="percent" val="0"/>
        <cfvo type="num" val="0.33"/>
        <cfvo type="num" val="0.41499999999999998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5BE3-6BAC-4276-BD1A-33D5FED53E84}">
  <dimension ref="A1:Z44"/>
  <sheetViews>
    <sheetView workbookViewId="0">
      <selection activeCell="O11" sqref="O11"/>
    </sheetView>
  </sheetViews>
  <sheetFormatPr baseColWidth="10" defaultRowHeight="14.5" x14ac:dyDescent="0.35"/>
  <cols>
    <col min="1" max="1" width="15.81640625" customWidth="1"/>
    <col min="2" max="2" width="6.1796875" style="31" customWidth="1"/>
    <col min="3" max="3" width="6.1796875" customWidth="1"/>
    <col min="4" max="4" width="7.08984375" customWidth="1"/>
    <col min="5" max="5" width="6.1796875" customWidth="1"/>
    <col min="6" max="6" width="6.7265625" customWidth="1"/>
    <col min="7" max="7" width="6.1796875" customWidth="1"/>
    <col min="8" max="8" width="7.1796875" customWidth="1"/>
    <col min="9" max="9" width="6.81640625" customWidth="1"/>
    <col min="10" max="10" width="7.08984375" customWidth="1"/>
    <col min="11" max="11" width="5.7265625" customWidth="1"/>
    <col min="12" max="12" width="6.81640625" customWidth="1"/>
    <col min="13" max="13" width="7.6328125" customWidth="1"/>
    <col min="14" max="14" width="6.36328125" customWidth="1"/>
    <col min="15" max="15" width="7.26953125" customWidth="1"/>
    <col min="16" max="16" width="6.54296875" customWidth="1"/>
    <col min="17" max="17" width="8.90625" customWidth="1"/>
    <col min="18" max="18" width="7.81640625" customWidth="1"/>
    <col min="19" max="19" width="6.54296875" customWidth="1"/>
    <col min="20" max="20" width="6.08984375" customWidth="1"/>
    <col min="21" max="21" width="7.26953125" customWidth="1"/>
    <col min="22" max="22" width="5.90625" customWidth="1"/>
    <col min="23" max="23" width="6.81640625" customWidth="1"/>
    <col min="24" max="24" width="6.6328125" customWidth="1"/>
    <col min="25" max="25" width="6.08984375" customWidth="1"/>
    <col min="26" max="26" width="7.36328125" customWidth="1"/>
  </cols>
  <sheetData>
    <row r="1" spans="1:26" s="32" customFormat="1" ht="22" customHeight="1" x14ac:dyDescent="0.35">
      <c r="A1" s="45" t="s">
        <v>43</v>
      </c>
      <c r="B1" s="46"/>
      <c r="C1" s="45"/>
      <c r="D1" s="45"/>
      <c r="E1" s="94" t="s">
        <v>37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s="32" customFormat="1" ht="5.5" customHeight="1" x14ac:dyDescent="0.35">
      <c r="A2" s="45"/>
      <c r="B2" s="46"/>
      <c r="C2" s="45"/>
      <c r="D2" s="45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14.5" customHeight="1" x14ac:dyDescent="0.35">
      <c r="A3" s="38"/>
      <c r="B3" s="39" t="s">
        <v>40</v>
      </c>
      <c r="D3" s="32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14.5" customHeight="1" x14ac:dyDescent="0.4">
      <c r="A4" s="40"/>
      <c r="B4" s="41" t="s">
        <v>41</v>
      </c>
      <c r="C4" s="32"/>
      <c r="D4" s="32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14.5" customHeight="1" x14ac:dyDescent="0.4">
      <c r="A5" s="42"/>
      <c r="B5" s="41" t="s">
        <v>42</v>
      </c>
      <c r="D5" s="32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s="32" customFormat="1" ht="9" customHeight="1" x14ac:dyDescent="0.4">
      <c r="A6" s="43"/>
      <c r="B6" s="44"/>
      <c r="C6" s="41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4.5" customHeight="1" x14ac:dyDescent="0.35">
      <c r="A7" s="86" t="s">
        <v>36</v>
      </c>
      <c r="B7" s="57" t="s">
        <v>0</v>
      </c>
      <c r="C7" s="93"/>
      <c r="D7" s="93"/>
      <c r="E7" s="93"/>
      <c r="F7" s="93"/>
      <c r="G7" s="93"/>
      <c r="H7" s="93"/>
      <c r="I7" s="93"/>
      <c r="J7" s="58"/>
      <c r="K7" s="59" t="s">
        <v>1</v>
      </c>
      <c r="L7" s="73"/>
      <c r="M7" s="73"/>
      <c r="N7" s="73"/>
      <c r="O7" s="73"/>
      <c r="P7" s="73"/>
      <c r="Q7" s="73"/>
      <c r="R7" s="51"/>
      <c r="S7" s="51"/>
      <c r="T7" s="51"/>
      <c r="U7" s="52"/>
      <c r="V7" s="70" t="s">
        <v>2</v>
      </c>
      <c r="W7" s="72"/>
      <c r="X7" s="72"/>
      <c r="Y7" s="72"/>
      <c r="Z7" s="71"/>
    </row>
    <row r="8" spans="1:26" x14ac:dyDescent="0.35">
      <c r="A8" s="87"/>
      <c r="B8" s="89" t="s">
        <v>22</v>
      </c>
      <c r="C8" s="57" t="s">
        <v>7</v>
      </c>
      <c r="D8" s="58"/>
      <c r="E8" s="57" t="s">
        <v>8</v>
      </c>
      <c r="F8" s="58"/>
      <c r="G8" s="57" t="s">
        <v>9</v>
      </c>
      <c r="H8" s="58"/>
      <c r="I8" s="57" t="s">
        <v>10</v>
      </c>
      <c r="J8" s="58"/>
      <c r="K8" s="91" t="s">
        <v>22</v>
      </c>
      <c r="L8" s="59" t="s">
        <v>11</v>
      </c>
      <c r="M8" s="60"/>
      <c r="N8" s="59" t="s">
        <v>12</v>
      </c>
      <c r="O8" s="73"/>
      <c r="P8" s="73"/>
      <c r="Q8" s="60"/>
      <c r="R8" s="59" t="s">
        <v>13</v>
      </c>
      <c r="S8" s="60"/>
      <c r="T8" s="59" t="s">
        <v>7</v>
      </c>
      <c r="U8" s="60"/>
      <c r="V8" s="81" t="s">
        <v>22</v>
      </c>
      <c r="W8" s="70" t="s">
        <v>13</v>
      </c>
      <c r="X8" s="71"/>
      <c r="Y8" s="70" t="s">
        <v>14</v>
      </c>
      <c r="Z8" s="71"/>
    </row>
    <row r="9" spans="1:26" ht="27.5" customHeight="1" x14ac:dyDescent="0.35">
      <c r="A9" s="88"/>
      <c r="B9" s="90"/>
      <c r="C9" s="2" t="s">
        <v>16</v>
      </c>
      <c r="D9" s="2" t="s">
        <v>33</v>
      </c>
      <c r="E9" s="2" t="s">
        <v>17</v>
      </c>
      <c r="F9" s="2" t="s">
        <v>33</v>
      </c>
      <c r="G9" s="2" t="s">
        <v>16</v>
      </c>
      <c r="H9" s="2" t="s">
        <v>33</v>
      </c>
      <c r="I9" s="2" t="s">
        <v>17</v>
      </c>
      <c r="J9" s="2" t="s">
        <v>33</v>
      </c>
      <c r="K9" s="92"/>
      <c r="L9" s="1" t="s">
        <v>16</v>
      </c>
      <c r="M9" s="1" t="s">
        <v>33</v>
      </c>
      <c r="N9" s="1" t="s">
        <v>18</v>
      </c>
      <c r="O9" s="1" t="s">
        <v>33</v>
      </c>
      <c r="P9" s="1" t="s">
        <v>17</v>
      </c>
      <c r="Q9" s="1" t="s">
        <v>33</v>
      </c>
      <c r="R9" s="1" t="s">
        <v>20</v>
      </c>
      <c r="S9" s="1" t="s">
        <v>33</v>
      </c>
      <c r="T9" s="1" t="s">
        <v>20</v>
      </c>
      <c r="U9" s="1" t="s">
        <v>33</v>
      </c>
      <c r="V9" s="82"/>
      <c r="W9" s="3" t="s">
        <v>21</v>
      </c>
      <c r="X9" s="3" t="s">
        <v>33</v>
      </c>
      <c r="Y9" s="3" t="s">
        <v>21</v>
      </c>
      <c r="Z9" s="3" t="s">
        <v>33</v>
      </c>
    </row>
    <row r="10" spans="1:26" x14ac:dyDescent="0.35">
      <c r="A10" s="7" t="s">
        <v>23</v>
      </c>
      <c r="B10" s="9">
        <v>442</v>
      </c>
      <c r="C10" s="26">
        <v>115</v>
      </c>
      <c r="D10" s="37">
        <f>C10/B10</f>
        <v>0.26018099547511314</v>
      </c>
      <c r="E10" s="26">
        <v>116</v>
      </c>
      <c r="F10" s="37">
        <f>E10/B10</f>
        <v>0.26244343891402716</v>
      </c>
      <c r="G10" s="26">
        <v>114</v>
      </c>
      <c r="H10" s="37">
        <f>G10/B10</f>
        <v>0.25791855203619912</v>
      </c>
      <c r="I10" s="26">
        <v>118</v>
      </c>
      <c r="J10" s="37">
        <f>I10/B10</f>
        <v>0.2669683257918552</v>
      </c>
      <c r="K10" s="26">
        <v>595</v>
      </c>
      <c r="L10" s="26">
        <v>146</v>
      </c>
      <c r="M10" s="37">
        <f>L10/K10</f>
        <v>0.24537815126050419</v>
      </c>
      <c r="N10" s="26">
        <v>147</v>
      </c>
      <c r="O10" s="37">
        <f>N10/K10</f>
        <v>0.24705882352941178</v>
      </c>
      <c r="P10" s="26">
        <v>143</v>
      </c>
      <c r="Q10" s="37">
        <f>P10/K10</f>
        <v>0.24033613445378152</v>
      </c>
      <c r="R10" s="26">
        <v>111</v>
      </c>
      <c r="S10" s="37">
        <f t="shared" ref="S10:S18" si="0">R10/K10</f>
        <v>0.1865546218487395</v>
      </c>
      <c r="T10" s="26">
        <v>153</v>
      </c>
      <c r="U10" s="37">
        <f>T10/K10</f>
        <v>0.25714285714285712</v>
      </c>
      <c r="V10" s="26">
        <v>734</v>
      </c>
      <c r="W10" s="26">
        <v>195</v>
      </c>
      <c r="X10" s="37">
        <f>W10/V10</f>
        <v>0.26566757493188009</v>
      </c>
      <c r="Y10" s="26">
        <v>192</v>
      </c>
      <c r="Z10" s="37">
        <f>Y10/V10</f>
        <v>0.26158038147138962</v>
      </c>
    </row>
    <row r="11" spans="1:26" x14ac:dyDescent="0.35">
      <c r="A11" s="7" t="s">
        <v>24</v>
      </c>
      <c r="B11" s="9">
        <v>635</v>
      </c>
      <c r="C11" s="26">
        <v>185</v>
      </c>
      <c r="D11" s="37">
        <f t="shared" ref="D11:D18" si="1">C11/B11</f>
        <v>0.29133858267716534</v>
      </c>
      <c r="E11" s="26">
        <v>187</v>
      </c>
      <c r="F11" s="37">
        <f t="shared" ref="F11:F18" si="2">E11/B11</f>
        <v>0.29448818897637796</v>
      </c>
      <c r="G11" s="26">
        <v>185</v>
      </c>
      <c r="H11" s="37">
        <f t="shared" ref="H11:H18" si="3">G11/B11</f>
        <v>0.29133858267716534</v>
      </c>
      <c r="I11" s="26">
        <v>185</v>
      </c>
      <c r="J11" s="37">
        <f t="shared" ref="J11:J18" si="4">I11/B11</f>
        <v>0.29133858267716534</v>
      </c>
      <c r="K11" s="26">
        <v>711</v>
      </c>
      <c r="L11" s="26">
        <v>204</v>
      </c>
      <c r="M11" s="37">
        <f t="shared" ref="M11:M18" si="5">L11/K11</f>
        <v>0.28691983122362869</v>
      </c>
      <c r="N11" s="26">
        <v>211</v>
      </c>
      <c r="O11" s="37">
        <f t="shared" ref="O11:O18" si="6">N11/K11</f>
        <v>0.29676511954992968</v>
      </c>
      <c r="P11" s="26">
        <v>162</v>
      </c>
      <c r="Q11" s="37">
        <f t="shared" ref="Q11:Q18" si="7">P11/K11</f>
        <v>0.22784810126582278</v>
      </c>
      <c r="R11" s="26">
        <v>130</v>
      </c>
      <c r="S11" s="37">
        <f t="shared" si="0"/>
        <v>0.18284106891701829</v>
      </c>
      <c r="T11" s="26">
        <v>186</v>
      </c>
      <c r="U11" s="37">
        <f t="shared" ref="U11:U18" si="8">T11/K11</f>
        <v>0.26160337552742619</v>
      </c>
      <c r="V11" s="26">
        <v>806</v>
      </c>
      <c r="W11" s="26">
        <v>215</v>
      </c>
      <c r="X11" s="37">
        <f t="shared" ref="X11:X18" si="9">W11/V11</f>
        <v>0.26674937965260548</v>
      </c>
      <c r="Y11" s="26">
        <v>209</v>
      </c>
      <c r="Z11" s="37">
        <f t="shared" ref="Z11:Z18" si="10">Y11/V11</f>
        <v>0.25930521091811415</v>
      </c>
    </row>
    <row r="12" spans="1:26" x14ac:dyDescent="0.35">
      <c r="A12" s="7" t="s">
        <v>25</v>
      </c>
      <c r="B12" s="9">
        <v>130</v>
      </c>
      <c r="C12" s="26">
        <v>38</v>
      </c>
      <c r="D12" s="37">
        <f t="shared" si="1"/>
        <v>0.29230769230769232</v>
      </c>
      <c r="E12" s="26">
        <v>31</v>
      </c>
      <c r="F12" s="37">
        <f t="shared" si="2"/>
        <v>0.23846153846153847</v>
      </c>
      <c r="G12" s="26">
        <v>38</v>
      </c>
      <c r="H12" s="37">
        <f t="shared" si="3"/>
        <v>0.29230769230769232</v>
      </c>
      <c r="I12" s="26">
        <v>32</v>
      </c>
      <c r="J12" s="37">
        <f t="shared" si="4"/>
        <v>0.24615384615384617</v>
      </c>
      <c r="K12" s="26">
        <v>161</v>
      </c>
      <c r="L12" s="26">
        <v>45</v>
      </c>
      <c r="M12" s="37">
        <f t="shared" si="5"/>
        <v>0.27950310559006208</v>
      </c>
      <c r="N12" s="26">
        <v>46</v>
      </c>
      <c r="O12" s="37">
        <f t="shared" si="6"/>
        <v>0.2857142857142857</v>
      </c>
      <c r="P12" s="26">
        <v>43</v>
      </c>
      <c r="Q12" s="37">
        <f t="shared" si="7"/>
        <v>0.26708074534161491</v>
      </c>
      <c r="R12" s="26">
        <v>30</v>
      </c>
      <c r="S12" s="37">
        <f t="shared" si="0"/>
        <v>0.18633540372670807</v>
      </c>
      <c r="T12" s="26">
        <v>44</v>
      </c>
      <c r="U12" s="37">
        <f t="shared" si="8"/>
        <v>0.27329192546583853</v>
      </c>
      <c r="V12" s="26">
        <v>221</v>
      </c>
      <c r="W12" s="26">
        <v>69</v>
      </c>
      <c r="X12" s="37">
        <f t="shared" si="9"/>
        <v>0.31221719457013575</v>
      </c>
      <c r="Y12" s="26">
        <v>69</v>
      </c>
      <c r="Z12" s="37">
        <f t="shared" si="10"/>
        <v>0.31221719457013575</v>
      </c>
    </row>
    <row r="13" spans="1:26" x14ac:dyDescent="0.35">
      <c r="A13" s="7" t="s">
        <v>26</v>
      </c>
      <c r="B13" s="9">
        <v>402</v>
      </c>
      <c r="C13" s="26">
        <v>143</v>
      </c>
      <c r="D13" s="37">
        <f t="shared" si="1"/>
        <v>0.35572139303482586</v>
      </c>
      <c r="E13" s="26">
        <v>128</v>
      </c>
      <c r="F13" s="37">
        <f t="shared" si="2"/>
        <v>0.31840796019900497</v>
      </c>
      <c r="G13" s="26">
        <v>144</v>
      </c>
      <c r="H13" s="37">
        <f t="shared" si="3"/>
        <v>0.35820895522388058</v>
      </c>
      <c r="I13" s="26">
        <v>128</v>
      </c>
      <c r="J13" s="37">
        <f t="shared" si="4"/>
        <v>0.31840796019900497</v>
      </c>
      <c r="K13" s="26">
        <v>489</v>
      </c>
      <c r="L13" s="26">
        <v>142</v>
      </c>
      <c r="M13" s="37">
        <f t="shared" si="5"/>
        <v>0.29038854805725972</v>
      </c>
      <c r="N13" s="26">
        <v>148</v>
      </c>
      <c r="O13" s="37">
        <f t="shared" si="6"/>
        <v>0.30265848670756645</v>
      </c>
      <c r="P13" s="26">
        <v>116</v>
      </c>
      <c r="Q13" s="37">
        <f t="shared" si="7"/>
        <v>0.23721881390593047</v>
      </c>
      <c r="R13" s="26">
        <v>93</v>
      </c>
      <c r="S13" s="37">
        <f t="shared" si="0"/>
        <v>0.19018404907975461</v>
      </c>
      <c r="T13" s="26">
        <v>114</v>
      </c>
      <c r="U13" s="37">
        <f t="shared" si="8"/>
        <v>0.23312883435582821</v>
      </c>
      <c r="V13" s="26">
        <v>676</v>
      </c>
      <c r="W13" s="26">
        <v>169</v>
      </c>
      <c r="X13" s="37">
        <f t="shared" si="9"/>
        <v>0.25</v>
      </c>
      <c r="Y13" s="26">
        <v>172</v>
      </c>
      <c r="Z13" s="37">
        <f t="shared" si="10"/>
        <v>0.25443786982248523</v>
      </c>
    </row>
    <row r="14" spans="1:26" x14ac:dyDescent="0.35">
      <c r="A14" s="7" t="s">
        <v>28</v>
      </c>
      <c r="B14" s="9">
        <v>132</v>
      </c>
      <c r="C14" s="26">
        <v>61</v>
      </c>
      <c r="D14" s="37">
        <f t="shared" si="1"/>
        <v>0.4621212121212121</v>
      </c>
      <c r="E14" s="26">
        <v>56</v>
      </c>
      <c r="F14" s="37">
        <f t="shared" si="2"/>
        <v>0.42424242424242425</v>
      </c>
      <c r="G14" s="26">
        <v>61</v>
      </c>
      <c r="H14" s="37">
        <f t="shared" si="3"/>
        <v>0.4621212121212121</v>
      </c>
      <c r="I14" s="26">
        <v>56</v>
      </c>
      <c r="J14" s="37">
        <f t="shared" si="4"/>
        <v>0.42424242424242425</v>
      </c>
      <c r="K14" s="26">
        <v>167</v>
      </c>
      <c r="L14" s="26">
        <v>46</v>
      </c>
      <c r="M14" s="37">
        <f t="shared" si="5"/>
        <v>0.27544910179640719</v>
      </c>
      <c r="N14" s="26">
        <v>46</v>
      </c>
      <c r="O14" s="37">
        <f t="shared" si="6"/>
        <v>0.27544910179640719</v>
      </c>
      <c r="P14" s="26">
        <v>33</v>
      </c>
      <c r="Q14" s="37">
        <f t="shared" si="7"/>
        <v>0.19760479041916168</v>
      </c>
      <c r="R14" s="26">
        <v>18</v>
      </c>
      <c r="S14" s="37">
        <f t="shared" si="0"/>
        <v>0.10778443113772455</v>
      </c>
      <c r="T14" s="26">
        <v>36</v>
      </c>
      <c r="U14" s="37">
        <f t="shared" si="8"/>
        <v>0.21556886227544911</v>
      </c>
      <c r="V14" s="26">
        <v>255</v>
      </c>
      <c r="W14" s="26">
        <v>88</v>
      </c>
      <c r="X14" s="37">
        <f t="shared" si="9"/>
        <v>0.34509803921568627</v>
      </c>
      <c r="Y14" s="26">
        <v>87</v>
      </c>
      <c r="Z14" s="37">
        <f t="shared" si="10"/>
        <v>0.3411764705882353</v>
      </c>
    </row>
    <row r="15" spans="1:26" x14ac:dyDescent="0.35">
      <c r="A15" s="7" t="s">
        <v>29</v>
      </c>
      <c r="B15" s="9">
        <v>945</v>
      </c>
      <c r="C15" s="26">
        <v>306</v>
      </c>
      <c r="D15" s="37">
        <f t="shared" si="1"/>
        <v>0.32380952380952382</v>
      </c>
      <c r="E15" s="26">
        <v>317</v>
      </c>
      <c r="F15" s="37">
        <f t="shared" si="2"/>
        <v>0.33544973544973544</v>
      </c>
      <c r="G15" s="26">
        <v>307</v>
      </c>
      <c r="H15" s="37">
        <f t="shared" si="3"/>
        <v>0.32486772486772486</v>
      </c>
      <c r="I15" s="26">
        <v>323</v>
      </c>
      <c r="J15" s="37">
        <f t="shared" si="4"/>
        <v>0.34179894179894182</v>
      </c>
      <c r="K15" s="26">
        <v>1174</v>
      </c>
      <c r="L15" s="26">
        <v>346</v>
      </c>
      <c r="M15" s="37">
        <f t="shared" si="5"/>
        <v>0.29471890971039183</v>
      </c>
      <c r="N15" s="26">
        <v>350</v>
      </c>
      <c r="O15" s="37">
        <f t="shared" si="6"/>
        <v>0.2981260647359455</v>
      </c>
      <c r="P15" s="26">
        <v>306</v>
      </c>
      <c r="Q15" s="37">
        <f t="shared" si="7"/>
        <v>0.26064735945485518</v>
      </c>
      <c r="R15" s="26">
        <v>190</v>
      </c>
      <c r="S15" s="37">
        <f t="shared" si="0"/>
        <v>0.16183986371379896</v>
      </c>
      <c r="T15" s="26">
        <v>323</v>
      </c>
      <c r="U15" s="37">
        <f t="shared" si="8"/>
        <v>0.27512776831345825</v>
      </c>
      <c r="V15" s="26">
        <v>1562</v>
      </c>
      <c r="W15" s="26">
        <v>497</v>
      </c>
      <c r="X15" s="37">
        <f t="shared" si="9"/>
        <v>0.31818181818181818</v>
      </c>
      <c r="Y15" s="26">
        <v>485</v>
      </c>
      <c r="Z15" s="37">
        <f t="shared" si="10"/>
        <v>0.31049935979513443</v>
      </c>
    </row>
    <row r="16" spans="1:26" x14ac:dyDescent="0.35">
      <c r="A16" s="7" t="s">
        <v>34</v>
      </c>
      <c r="B16" s="9">
        <v>321</v>
      </c>
      <c r="C16" s="26">
        <v>48</v>
      </c>
      <c r="D16" s="37">
        <f t="shared" si="1"/>
        <v>0.14953271028037382</v>
      </c>
      <c r="E16" s="26">
        <v>52</v>
      </c>
      <c r="F16" s="37">
        <f t="shared" si="2"/>
        <v>0.16199376947040497</v>
      </c>
      <c r="G16" s="26">
        <v>49</v>
      </c>
      <c r="H16" s="37">
        <f t="shared" si="3"/>
        <v>0.15264797507788161</v>
      </c>
      <c r="I16" s="26">
        <v>52</v>
      </c>
      <c r="J16" s="37">
        <f t="shared" si="4"/>
        <v>0.16199376947040497</v>
      </c>
      <c r="K16" s="26">
        <v>327</v>
      </c>
      <c r="L16" s="26">
        <v>55</v>
      </c>
      <c r="M16" s="37">
        <f t="shared" si="5"/>
        <v>0.16819571865443425</v>
      </c>
      <c r="N16" s="26">
        <v>55</v>
      </c>
      <c r="O16" s="37">
        <f t="shared" si="6"/>
        <v>0.16819571865443425</v>
      </c>
      <c r="P16" s="26">
        <v>28</v>
      </c>
      <c r="Q16" s="37">
        <f t="shared" si="7"/>
        <v>8.5626911314984705E-2</v>
      </c>
      <c r="R16" s="26">
        <v>26</v>
      </c>
      <c r="S16" s="37">
        <f t="shared" si="0"/>
        <v>7.9510703363914373E-2</v>
      </c>
      <c r="T16" s="26">
        <v>43</v>
      </c>
      <c r="U16" s="37">
        <f t="shared" si="8"/>
        <v>0.13149847094801223</v>
      </c>
      <c r="V16" s="26">
        <v>436</v>
      </c>
      <c r="W16" s="26">
        <v>46</v>
      </c>
      <c r="X16" s="37">
        <f t="shared" si="9"/>
        <v>0.10550458715596331</v>
      </c>
      <c r="Y16" s="26">
        <v>45</v>
      </c>
      <c r="Z16" s="37">
        <f t="shared" si="10"/>
        <v>0.10321100917431193</v>
      </c>
    </row>
    <row r="17" spans="1:26" x14ac:dyDescent="0.35">
      <c r="A17" s="13" t="s">
        <v>27</v>
      </c>
      <c r="B17" s="29">
        <v>1222</v>
      </c>
      <c r="C17" s="27">
        <v>365</v>
      </c>
      <c r="D17" s="37">
        <f t="shared" si="1"/>
        <v>0.29869067103109659</v>
      </c>
      <c r="E17" s="27">
        <v>378</v>
      </c>
      <c r="F17" s="37">
        <f t="shared" si="2"/>
        <v>0.30932896890343697</v>
      </c>
      <c r="G17" s="27">
        <v>364</v>
      </c>
      <c r="H17" s="37">
        <f t="shared" si="3"/>
        <v>0.2978723404255319</v>
      </c>
      <c r="I17" s="27">
        <v>386</v>
      </c>
      <c r="J17" s="37">
        <f t="shared" si="4"/>
        <v>0.3158756137479542</v>
      </c>
      <c r="K17" s="27">
        <v>1482</v>
      </c>
      <c r="L17" s="27">
        <v>451</v>
      </c>
      <c r="M17" s="37">
        <f t="shared" si="5"/>
        <v>0.30431848852901483</v>
      </c>
      <c r="N17" s="27">
        <v>462</v>
      </c>
      <c r="O17" s="37">
        <f t="shared" si="6"/>
        <v>0.31174089068825911</v>
      </c>
      <c r="P17" s="27">
        <v>364</v>
      </c>
      <c r="Q17" s="37">
        <f t="shared" si="7"/>
        <v>0.24561403508771928</v>
      </c>
      <c r="R17" s="27">
        <v>267</v>
      </c>
      <c r="S17" s="37">
        <f t="shared" si="0"/>
        <v>0.18016194331983806</v>
      </c>
      <c r="T17" s="27">
        <v>417</v>
      </c>
      <c r="U17" s="37">
        <f t="shared" si="8"/>
        <v>0.28137651821862347</v>
      </c>
      <c r="V17" s="27">
        <v>2023</v>
      </c>
      <c r="W17" s="27">
        <v>598</v>
      </c>
      <c r="X17" s="37">
        <f t="shared" si="9"/>
        <v>0.29560059317844783</v>
      </c>
      <c r="Y17" s="27">
        <v>595</v>
      </c>
      <c r="Z17" s="37">
        <f t="shared" si="10"/>
        <v>0.29411764705882354</v>
      </c>
    </row>
    <row r="18" spans="1:26" x14ac:dyDescent="0.35">
      <c r="A18" s="8" t="s">
        <v>30</v>
      </c>
      <c r="B18" s="30">
        <f>SUM(B10:B17)</f>
        <v>4229</v>
      </c>
      <c r="C18" s="28">
        <f>SUM(C10:C17)</f>
        <v>1261</v>
      </c>
      <c r="D18" s="37">
        <f t="shared" si="1"/>
        <v>0.2981792385906834</v>
      </c>
      <c r="E18" s="28">
        <f>SUM(E10:E17)</f>
        <v>1265</v>
      </c>
      <c r="F18" s="37">
        <f t="shared" si="2"/>
        <v>0.29912508867344528</v>
      </c>
      <c r="G18" s="28">
        <f>SUM(G10:G17)</f>
        <v>1262</v>
      </c>
      <c r="H18" s="37">
        <f t="shared" si="3"/>
        <v>0.29841570111137383</v>
      </c>
      <c r="I18" s="28">
        <f>SUM(I10:I17)</f>
        <v>1280</v>
      </c>
      <c r="J18" s="37">
        <f t="shared" si="4"/>
        <v>0.30267202648380231</v>
      </c>
      <c r="K18" s="28">
        <f>SUM(K10:K17)</f>
        <v>5106</v>
      </c>
      <c r="L18" s="28">
        <f>SUM(L10:L17)</f>
        <v>1435</v>
      </c>
      <c r="M18" s="37">
        <f t="shared" si="5"/>
        <v>0.28104191147669411</v>
      </c>
      <c r="N18" s="28">
        <f>SUM(N10:N17)</f>
        <v>1465</v>
      </c>
      <c r="O18" s="37">
        <f t="shared" si="6"/>
        <v>0.28691735213474345</v>
      </c>
      <c r="P18" s="28">
        <f>SUM(P10:P17)</f>
        <v>1195</v>
      </c>
      <c r="Q18" s="37">
        <f t="shared" si="7"/>
        <v>0.23403838621229925</v>
      </c>
      <c r="R18" s="28">
        <f>SUM(R10:R17)</f>
        <v>865</v>
      </c>
      <c r="S18" s="37">
        <f t="shared" si="0"/>
        <v>0.16940853897375638</v>
      </c>
      <c r="T18" s="28">
        <f>SUM(T10:T17)</f>
        <v>1316</v>
      </c>
      <c r="U18" s="37">
        <f t="shared" si="8"/>
        <v>0.25773599686643167</v>
      </c>
      <c r="V18" s="28">
        <f>SUM(V10:V17)</f>
        <v>6713</v>
      </c>
      <c r="W18" s="28">
        <f>SUM(W10:W17)</f>
        <v>1877</v>
      </c>
      <c r="X18" s="37">
        <f t="shared" si="9"/>
        <v>0.27960673320423057</v>
      </c>
      <c r="Y18" s="28">
        <f>SUM(Y10:Y17)</f>
        <v>1854</v>
      </c>
      <c r="Z18" s="37">
        <f t="shared" si="10"/>
        <v>0.27618054521078506</v>
      </c>
    </row>
    <row r="19" spans="1:26" ht="16.5" hidden="1" customHeight="1" x14ac:dyDescent="0.35">
      <c r="A19" s="20"/>
      <c r="B19" s="22"/>
      <c r="C19" s="23">
        <v>342</v>
      </c>
      <c r="D19" s="20"/>
      <c r="E19" s="20">
        <v>355</v>
      </c>
      <c r="F19" s="20"/>
      <c r="G19" s="50">
        <v>340</v>
      </c>
      <c r="H19" s="20"/>
      <c r="I19" s="15">
        <v>363</v>
      </c>
      <c r="J19" s="20"/>
      <c r="K19" s="20"/>
      <c r="L19" s="15">
        <v>418</v>
      </c>
      <c r="M19" s="20"/>
      <c r="N19" s="15">
        <v>429</v>
      </c>
      <c r="O19" s="20"/>
      <c r="P19" s="15">
        <v>343</v>
      </c>
      <c r="Q19" s="20"/>
      <c r="R19" s="15">
        <v>247</v>
      </c>
      <c r="S19" s="20"/>
      <c r="T19" s="15">
        <v>389</v>
      </c>
      <c r="U19" s="20"/>
      <c r="V19" s="20"/>
      <c r="W19" s="15">
        <v>551</v>
      </c>
      <c r="X19" s="20"/>
      <c r="Y19" s="15">
        <v>548</v>
      </c>
      <c r="Z19" s="20"/>
    </row>
    <row r="20" spans="1:26" ht="15" hidden="1" customHeight="1" x14ac:dyDescent="0.35">
      <c r="A20" s="20"/>
      <c r="B20" s="22"/>
      <c r="C20" s="48">
        <v>24</v>
      </c>
      <c r="D20" s="20"/>
      <c r="E20" s="48">
        <v>23</v>
      </c>
      <c r="F20" s="20"/>
      <c r="G20" s="48">
        <v>24</v>
      </c>
      <c r="H20" s="20"/>
      <c r="I20" s="48">
        <v>23</v>
      </c>
      <c r="J20" s="20"/>
      <c r="K20" s="20"/>
      <c r="L20" s="48">
        <v>33</v>
      </c>
      <c r="M20" s="20"/>
      <c r="N20" s="48">
        <v>33</v>
      </c>
      <c r="O20" s="20"/>
      <c r="P20" s="48">
        <v>21</v>
      </c>
      <c r="Q20" s="20"/>
      <c r="R20" s="48">
        <v>20</v>
      </c>
      <c r="S20" s="20"/>
      <c r="T20" s="48">
        <v>28</v>
      </c>
      <c r="U20" s="20"/>
      <c r="V20" s="20"/>
      <c r="W20" s="48">
        <v>47</v>
      </c>
      <c r="X20" s="20"/>
      <c r="Y20" s="48">
        <v>47</v>
      </c>
      <c r="Z20" s="20"/>
    </row>
    <row r="21" spans="1:26" x14ac:dyDescent="0.35">
      <c r="A21" s="78" t="s">
        <v>38</v>
      </c>
      <c r="B21" s="78"/>
      <c r="C21" s="78"/>
      <c r="D21" s="78"/>
      <c r="E21" s="78"/>
      <c r="F21" s="78"/>
      <c r="G21" s="78"/>
      <c r="H21" s="78"/>
      <c r="I21" s="78"/>
      <c r="J21" s="78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x14ac:dyDescent="0.35">
      <c r="A22" s="78" t="s">
        <v>44</v>
      </c>
      <c r="B22" s="78"/>
      <c r="C22" s="78"/>
      <c r="D22" s="78"/>
      <c r="E22" s="78"/>
      <c r="F22" s="78"/>
      <c r="G22" s="78"/>
      <c r="H22" s="78"/>
      <c r="I22" s="78"/>
      <c r="J22" s="78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s="32" customFormat="1" x14ac:dyDescent="0.35">
      <c r="B23" s="33"/>
    </row>
    <row r="24" spans="1:26" ht="14.5" customHeight="1" x14ac:dyDescent="0.35">
      <c r="A24" s="86" t="s">
        <v>36</v>
      </c>
      <c r="B24" s="68" t="s">
        <v>3</v>
      </c>
      <c r="C24" s="74"/>
      <c r="D24" s="69"/>
      <c r="E24" s="65" t="s">
        <v>4</v>
      </c>
      <c r="F24" s="66"/>
      <c r="G24" s="66"/>
      <c r="H24" s="66"/>
      <c r="I24" s="66"/>
      <c r="J24" s="67"/>
      <c r="K24" s="79" t="s">
        <v>5</v>
      </c>
      <c r="L24" s="85"/>
      <c r="M24" s="85"/>
      <c r="N24" s="85"/>
      <c r="O24" s="85"/>
      <c r="P24" s="80"/>
      <c r="Q24" s="32"/>
      <c r="R24" s="96" t="s">
        <v>43</v>
      </c>
      <c r="S24" s="96"/>
      <c r="T24" s="96"/>
      <c r="U24" s="32"/>
      <c r="V24" s="32"/>
      <c r="W24" s="32"/>
      <c r="X24" s="32"/>
    </row>
    <row r="25" spans="1:26" ht="14.5" customHeight="1" x14ac:dyDescent="0.35">
      <c r="A25" s="87"/>
      <c r="B25" s="75" t="s">
        <v>22</v>
      </c>
      <c r="C25" s="68" t="s">
        <v>6</v>
      </c>
      <c r="D25" s="69"/>
      <c r="E25" s="63" t="s">
        <v>22</v>
      </c>
      <c r="F25" s="65" t="s">
        <v>31</v>
      </c>
      <c r="G25" s="67"/>
      <c r="H25" s="63" t="s">
        <v>22</v>
      </c>
      <c r="I25" s="65" t="s">
        <v>32</v>
      </c>
      <c r="J25" s="67"/>
      <c r="K25" s="61" t="s">
        <v>22</v>
      </c>
      <c r="L25" s="79" t="s">
        <v>8</v>
      </c>
      <c r="M25" s="80"/>
      <c r="N25" s="83" t="s">
        <v>22</v>
      </c>
      <c r="O25" s="79" t="s">
        <v>15</v>
      </c>
      <c r="P25" s="80"/>
      <c r="Q25" s="32"/>
      <c r="R25" s="96"/>
      <c r="S25" s="96"/>
      <c r="T25" s="96"/>
      <c r="U25" s="32"/>
      <c r="V25" s="32"/>
      <c r="W25" s="32"/>
      <c r="X25" s="32"/>
    </row>
    <row r="26" spans="1:26" x14ac:dyDescent="0.35">
      <c r="A26" s="88"/>
      <c r="B26" s="76"/>
      <c r="C26" s="4" t="s">
        <v>19</v>
      </c>
      <c r="D26" s="4" t="s">
        <v>33</v>
      </c>
      <c r="E26" s="64"/>
      <c r="F26" s="5" t="s">
        <v>19</v>
      </c>
      <c r="G26" s="5" t="s">
        <v>33</v>
      </c>
      <c r="H26" s="64"/>
      <c r="I26" s="5" t="s">
        <v>19</v>
      </c>
      <c r="J26" s="5" t="s">
        <v>33</v>
      </c>
      <c r="K26" s="62"/>
      <c r="L26" s="6" t="s">
        <v>19</v>
      </c>
      <c r="M26" s="6" t="s">
        <v>33</v>
      </c>
      <c r="N26" s="84"/>
      <c r="O26" s="6" t="s">
        <v>19</v>
      </c>
      <c r="P26" s="6" t="s">
        <v>33</v>
      </c>
      <c r="Q26" s="32"/>
      <c r="R26" s="32"/>
      <c r="S26" s="32"/>
      <c r="T26" s="32"/>
      <c r="U26" s="32"/>
      <c r="V26" s="32"/>
      <c r="W26" s="32"/>
      <c r="X26" s="32"/>
    </row>
    <row r="27" spans="1:26" ht="16.5" customHeight="1" x14ac:dyDescent="0.35">
      <c r="A27" s="47" t="s">
        <v>23</v>
      </c>
      <c r="B27" s="9">
        <v>338</v>
      </c>
      <c r="C27" s="9">
        <v>117</v>
      </c>
      <c r="D27" s="37">
        <f>C27/B27</f>
        <v>0.34615384615384615</v>
      </c>
      <c r="E27" s="9">
        <v>825</v>
      </c>
      <c r="F27" s="9">
        <v>137</v>
      </c>
      <c r="G27" s="37">
        <f>F27/E27</f>
        <v>0.16606060606060605</v>
      </c>
      <c r="H27" s="9">
        <v>546</v>
      </c>
      <c r="I27" s="9">
        <v>241</v>
      </c>
      <c r="J27" s="37">
        <f>I27/H27</f>
        <v>0.44139194139194138</v>
      </c>
      <c r="K27" s="9">
        <v>827</v>
      </c>
      <c r="L27" s="9">
        <v>148</v>
      </c>
      <c r="M27" s="37">
        <f>L27/K27</f>
        <v>0.17896009673518742</v>
      </c>
      <c r="N27" s="9">
        <v>1652</v>
      </c>
      <c r="O27" s="9">
        <v>836</v>
      </c>
      <c r="P27" s="37">
        <f>O27/N27</f>
        <v>0.50605326876513312</v>
      </c>
      <c r="Q27" s="32"/>
      <c r="R27" s="38"/>
      <c r="S27" s="39" t="s">
        <v>40</v>
      </c>
      <c r="T27" s="32"/>
      <c r="U27" s="32"/>
      <c r="V27" s="32"/>
      <c r="W27" s="32"/>
      <c r="X27" s="32"/>
    </row>
    <row r="28" spans="1:26" ht="15" customHeight="1" x14ac:dyDescent="0.4">
      <c r="A28" s="47" t="s">
        <v>24</v>
      </c>
      <c r="B28" s="9">
        <v>587</v>
      </c>
      <c r="C28" s="9">
        <v>184</v>
      </c>
      <c r="D28" s="37">
        <f t="shared" ref="D28:D33" si="11">C28/B28</f>
        <v>0.31345826235093699</v>
      </c>
      <c r="E28" s="9">
        <v>1062</v>
      </c>
      <c r="F28" s="9">
        <v>155</v>
      </c>
      <c r="G28" s="37">
        <f t="shared" ref="G28:G33" si="12">F28/E28</f>
        <v>0.14595103578154425</v>
      </c>
      <c r="H28" s="9">
        <v>735</v>
      </c>
      <c r="I28" s="9">
        <v>229</v>
      </c>
      <c r="J28" s="37">
        <f t="shared" ref="J28:J36" si="13">I28/H28</f>
        <v>0.31156462585034012</v>
      </c>
      <c r="K28" s="9">
        <v>1189</v>
      </c>
      <c r="L28" s="9">
        <v>104</v>
      </c>
      <c r="M28" s="37">
        <f t="shared" ref="M28:M36" si="14">L28/K28</f>
        <v>8.7468460891505465E-2</v>
      </c>
      <c r="N28" s="9">
        <v>2384</v>
      </c>
      <c r="O28" s="9">
        <v>814</v>
      </c>
      <c r="P28" s="37">
        <f t="shared" ref="P28:P33" si="15">O28/N28</f>
        <v>0.34144295302013422</v>
      </c>
      <c r="Q28" s="32"/>
      <c r="R28" s="40"/>
      <c r="S28" s="41" t="s">
        <v>41</v>
      </c>
      <c r="T28" s="32"/>
      <c r="U28" s="32"/>
      <c r="V28" s="32"/>
      <c r="W28" s="32"/>
      <c r="X28" s="32"/>
    </row>
    <row r="29" spans="1:26" ht="16.5" customHeight="1" x14ac:dyDescent="0.4">
      <c r="A29" s="47" t="s">
        <v>25</v>
      </c>
      <c r="B29" s="9">
        <v>83</v>
      </c>
      <c r="C29" s="9">
        <v>32</v>
      </c>
      <c r="D29" s="37">
        <f t="shared" si="11"/>
        <v>0.38554216867469882</v>
      </c>
      <c r="E29" s="9">
        <v>251</v>
      </c>
      <c r="F29" s="9">
        <v>39</v>
      </c>
      <c r="G29" s="37">
        <f t="shared" si="12"/>
        <v>0.15537848605577689</v>
      </c>
      <c r="H29" s="9">
        <v>184</v>
      </c>
      <c r="I29" s="9">
        <v>89</v>
      </c>
      <c r="J29" s="37">
        <f t="shared" si="13"/>
        <v>0.48369565217391303</v>
      </c>
      <c r="K29" s="9">
        <v>537</v>
      </c>
      <c r="L29" s="9">
        <v>49</v>
      </c>
      <c r="M29" s="37">
        <f t="shared" si="14"/>
        <v>9.1247672253258846E-2</v>
      </c>
      <c r="N29" s="9">
        <v>1074</v>
      </c>
      <c r="O29" s="9">
        <v>789</v>
      </c>
      <c r="P29" s="37">
        <f t="shared" si="15"/>
        <v>0.73463687150837986</v>
      </c>
      <c r="Q29" s="32"/>
      <c r="R29" s="42"/>
      <c r="S29" s="41" t="s">
        <v>42</v>
      </c>
      <c r="T29" s="32"/>
      <c r="U29" s="32"/>
      <c r="V29" s="32"/>
      <c r="W29" s="32"/>
      <c r="X29" s="32"/>
    </row>
    <row r="30" spans="1:26" x14ac:dyDescent="0.35">
      <c r="A30" s="7" t="s">
        <v>26</v>
      </c>
      <c r="B30" s="9">
        <v>321</v>
      </c>
      <c r="C30" s="9">
        <v>104</v>
      </c>
      <c r="D30" s="37">
        <f t="shared" si="11"/>
        <v>0.32398753894080995</v>
      </c>
      <c r="E30" s="9">
        <v>682</v>
      </c>
      <c r="F30" s="9">
        <v>75</v>
      </c>
      <c r="G30" s="37">
        <f t="shared" si="12"/>
        <v>0.10997067448680352</v>
      </c>
      <c r="H30" s="9">
        <v>476</v>
      </c>
      <c r="I30" s="9">
        <v>149</v>
      </c>
      <c r="J30" s="37">
        <f t="shared" si="13"/>
        <v>0.31302521008403361</v>
      </c>
      <c r="K30" s="9">
        <v>1076</v>
      </c>
      <c r="L30" s="9">
        <v>170</v>
      </c>
      <c r="M30" s="37">
        <f t="shared" si="14"/>
        <v>0.15799256505576209</v>
      </c>
      <c r="N30" s="9">
        <v>2145</v>
      </c>
      <c r="O30" s="9">
        <v>1262</v>
      </c>
      <c r="P30" s="37">
        <f t="shared" si="15"/>
        <v>0.58834498834498838</v>
      </c>
      <c r="Q30" s="32"/>
      <c r="R30" s="32"/>
      <c r="S30" s="32"/>
      <c r="T30" s="32"/>
      <c r="U30" s="32"/>
      <c r="V30" s="32"/>
      <c r="W30" s="32"/>
      <c r="X30" s="32"/>
    </row>
    <row r="31" spans="1:26" hidden="1" x14ac:dyDescent="0.35">
      <c r="B31" s="34"/>
      <c r="C31" s="34"/>
      <c r="D31" s="37" t="e">
        <f t="shared" si="11"/>
        <v>#DIV/0!</v>
      </c>
      <c r="E31" s="34"/>
      <c r="F31" s="34"/>
      <c r="G31" s="37" t="e">
        <f t="shared" si="12"/>
        <v>#DIV/0!</v>
      </c>
      <c r="H31" s="34"/>
      <c r="I31" s="34"/>
      <c r="J31" s="37" t="e">
        <f t="shared" si="13"/>
        <v>#DIV/0!</v>
      </c>
      <c r="K31" s="34"/>
      <c r="L31" s="34"/>
      <c r="M31" s="37" t="e">
        <f t="shared" si="14"/>
        <v>#DIV/0!</v>
      </c>
      <c r="N31" s="34"/>
      <c r="O31" s="34"/>
      <c r="P31" s="37" t="e">
        <f t="shared" si="15"/>
        <v>#DIV/0!</v>
      </c>
      <c r="Q31" s="32"/>
      <c r="R31" s="32"/>
      <c r="S31" s="32"/>
      <c r="T31" s="32"/>
      <c r="U31" s="32"/>
      <c r="V31" s="32"/>
      <c r="W31" s="32"/>
      <c r="X31" s="32"/>
    </row>
    <row r="32" spans="1:26" x14ac:dyDescent="0.35">
      <c r="A32" s="7" t="s">
        <v>28</v>
      </c>
      <c r="B32" s="9">
        <v>113</v>
      </c>
      <c r="C32" s="9">
        <v>41</v>
      </c>
      <c r="D32" s="37">
        <f t="shared" si="11"/>
        <v>0.36283185840707965</v>
      </c>
      <c r="E32" s="9">
        <v>269</v>
      </c>
      <c r="F32" s="9">
        <v>18</v>
      </c>
      <c r="G32" s="37">
        <f t="shared" si="12"/>
        <v>6.6914498141263934E-2</v>
      </c>
      <c r="H32" s="9">
        <v>241</v>
      </c>
      <c r="I32" s="9">
        <v>30</v>
      </c>
      <c r="J32" s="37">
        <f t="shared" si="13"/>
        <v>0.12448132780082988</v>
      </c>
      <c r="K32" s="9">
        <v>928</v>
      </c>
      <c r="L32" s="9">
        <v>37</v>
      </c>
      <c r="M32" s="37">
        <f t="shared" si="14"/>
        <v>3.9870689655172417E-2</v>
      </c>
      <c r="N32" s="9">
        <v>1858</v>
      </c>
      <c r="O32" s="9">
        <v>1191</v>
      </c>
      <c r="P32" s="37">
        <f t="shared" si="15"/>
        <v>0.64101184068891282</v>
      </c>
      <c r="Q32" s="32"/>
      <c r="R32" s="32"/>
      <c r="S32" s="32"/>
      <c r="T32" s="32"/>
      <c r="U32" s="32"/>
      <c r="V32" s="32"/>
      <c r="W32" s="32"/>
      <c r="X32" s="32"/>
    </row>
    <row r="33" spans="1:24" x14ac:dyDescent="0.35">
      <c r="A33" s="7" t="s">
        <v>29</v>
      </c>
      <c r="B33" s="9">
        <v>813</v>
      </c>
      <c r="C33" s="9">
        <v>273</v>
      </c>
      <c r="D33" s="37">
        <f t="shared" si="11"/>
        <v>0.33579335793357934</v>
      </c>
      <c r="E33" s="9">
        <v>1687</v>
      </c>
      <c r="F33" s="9">
        <v>272</v>
      </c>
      <c r="G33" s="37">
        <f t="shared" si="12"/>
        <v>0.16123295791345585</v>
      </c>
      <c r="H33" s="9">
        <v>1192</v>
      </c>
      <c r="I33" s="9">
        <v>343</v>
      </c>
      <c r="J33" s="37">
        <f t="shared" si="13"/>
        <v>0.28775167785234901</v>
      </c>
      <c r="K33" s="9">
        <v>1944</v>
      </c>
      <c r="L33" s="9">
        <v>311</v>
      </c>
      <c r="M33" s="37">
        <f t="shared" si="14"/>
        <v>0.15997942386831276</v>
      </c>
      <c r="N33" s="9">
        <v>3882</v>
      </c>
      <c r="O33" s="9">
        <v>2255</v>
      </c>
      <c r="P33" s="37">
        <f t="shared" si="15"/>
        <v>0.58088614116434822</v>
      </c>
      <c r="Q33" s="32"/>
      <c r="R33" s="32"/>
      <c r="S33" s="32"/>
      <c r="T33" s="32"/>
      <c r="U33" s="32"/>
      <c r="V33" s="32"/>
      <c r="W33" s="32"/>
      <c r="X33" s="32"/>
    </row>
    <row r="34" spans="1:24" x14ac:dyDescent="0.35">
      <c r="A34" s="7" t="s">
        <v>34</v>
      </c>
      <c r="B34" s="35"/>
      <c r="C34" s="9">
        <v>39</v>
      </c>
      <c r="D34" s="36"/>
      <c r="E34" s="35"/>
      <c r="F34" s="9">
        <v>12</v>
      </c>
      <c r="G34" s="36"/>
      <c r="H34" s="35"/>
      <c r="I34" s="9">
        <v>20</v>
      </c>
      <c r="J34" s="36"/>
      <c r="K34" s="35"/>
      <c r="L34" s="9">
        <v>32</v>
      </c>
      <c r="M34" s="36"/>
      <c r="N34" s="35"/>
      <c r="O34" s="9">
        <v>232</v>
      </c>
      <c r="P34" s="36"/>
      <c r="Q34" s="32"/>
      <c r="R34" s="32"/>
      <c r="S34" s="32"/>
      <c r="T34" s="32"/>
      <c r="U34" s="32"/>
      <c r="V34" s="32"/>
      <c r="W34" s="32"/>
      <c r="X34" s="32"/>
    </row>
    <row r="35" spans="1:24" x14ac:dyDescent="0.35">
      <c r="A35" s="13" t="s">
        <v>27</v>
      </c>
      <c r="B35" s="29">
        <v>1203</v>
      </c>
      <c r="C35" s="29">
        <v>425</v>
      </c>
      <c r="D35" s="37">
        <f>C35/B35</f>
        <v>0.35328345802161265</v>
      </c>
      <c r="E35" s="29">
        <v>2391</v>
      </c>
      <c r="F35" s="29">
        <v>182</v>
      </c>
      <c r="G35" s="37">
        <f>F35/E35</f>
        <v>7.6118778753659563E-2</v>
      </c>
      <c r="H35" s="29">
        <v>1650</v>
      </c>
      <c r="I35" s="29">
        <v>436</v>
      </c>
      <c r="J35" s="37">
        <f t="shared" si="13"/>
        <v>0.26424242424242422</v>
      </c>
      <c r="K35" s="29">
        <v>2538</v>
      </c>
      <c r="L35" s="29">
        <v>306</v>
      </c>
      <c r="M35" s="37">
        <f t="shared" si="14"/>
        <v>0.12056737588652482</v>
      </c>
      <c r="N35" s="29">
        <v>5073</v>
      </c>
      <c r="O35" s="29">
        <v>1928</v>
      </c>
      <c r="P35" s="37">
        <f t="shared" ref="P35:P36" si="16">O35/N35</f>
        <v>0.38005125172481768</v>
      </c>
      <c r="Q35" s="32"/>
      <c r="R35" s="32"/>
      <c r="S35" s="32"/>
      <c r="T35" s="32"/>
      <c r="U35" s="32"/>
      <c r="V35" s="32"/>
      <c r="W35" s="32"/>
      <c r="X35" s="32"/>
    </row>
    <row r="36" spans="1:24" x14ac:dyDescent="0.35">
      <c r="A36" s="8" t="s">
        <v>30</v>
      </c>
      <c r="B36" s="30">
        <f>SUM(B27:B35)</f>
        <v>3458</v>
      </c>
      <c r="C36" s="30">
        <f>SUM(C27:C35)</f>
        <v>1215</v>
      </c>
      <c r="D36" s="37">
        <f>C36/B36</f>
        <v>0.35135916714864085</v>
      </c>
      <c r="E36" s="30">
        <f>SUM(E27:E35)</f>
        <v>7167</v>
      </c>
      <c r="F36" s="30">
        <f>SUM(F27:F35)</f>
        <v>890</v>
      </c>
      <c r="G36" s="37">
        <f>F36/E36</f>
        <v>0.12418027068508442</v>
      </c>
      <c r="H36" s="30">
        <f>SUM(H27:H35)</f>
        <v>5024</v>
      </c>
      <c r="I36" s="30">
        <f>SUM(I27:I35)</f>
        <v>1537</v>
      </c>
      <c r="J36" s="37">
        <f t="shared" si="13"/>
        <v>0.3059315286624204</v>
      </c>
      <c r="K36" s="30">
        <f>SUM(K27:K35)</f>
        <v>9039</v>
      </c>
      <c r="L36" s="30">
        <f>SUM(L27:L35)</f>
        <v>1157</v>
      </c>
      <c r="M36" s="37">
        <f t="shared" si="14"/>
        <v>0.12800088505365637</v>
      </c>
      <c r="N36" s="30">
        <f>SUM(N27:N35)</f>
        <v>18068</v>
      </c>
      <c r="O36" s="30">
        <f>SUM(O27:O35)</f>
        <v>9307</v>
      </c>
      <c r="P36" s="37">
        <f t="shared" si="16"/>
        <v>0.51510958600841261</v>
      </c>
      <c r="Q36" s="32"/>
      <c r="R36" s="32"/>
      <c r="S36" s="32"/>
      <c r="T36" s="32"/>
      <c r="U36" s="32"/>
      <c r="V36" s="32"/>
      <c r="W36" s="32"/>
      <c r="X36" s="32"/>
    </row>
    <row r="37" spans="1:24" ht="16" hidden="1" customHeight="1" x14ac:dyDescent="0.35">
      <c r="B37" s="20"/>
      <c r="C37" s="15">
        <v>393</v>
      </c>
      <c r="D37" s="20"/>
      <c r="E37" s="20"/>
      <c r="F37" s="15">
        <v>171</v>
      </c>
      <c r="G37" s="20"/>
      <c r="H37" s="20"/>
      <c r="I37" s="15">
        <v>432</v>
      </c>
      <c r="J37" s="20"/>
      <c r="K37" s="20"/>
      <c r="L37" s="15">
        <v>296</v>
      </c>
      <c r="M37" s="20"/>
      <c r="N37" s="20"/>
      <c r="O37" s="15">
        <v>1926</v>
      </c>
      <c r="P37" s="20"/>
      <c r="Q37" s="32"/>
      <c r="R37" s="32"/>
      <c r="S37" s="32"/>
      <c r="T37" s="32"/>
      <c r="U37" s="32"/>
      <c r="V37" s="32"/>
      <c r="W37" s="32"/>
      <c r="X37" s="32"/>
    </row>
    <row r="38" spans="1:24" ht="22" hidden="1" customHeight="1" x14ac:dyDescent="0.35">
      <c r="B38" s="20"/>
      <c r="C38" s="49">
        <v>32</v>
      </c>
      <c r="D38" s="20"/>
      <c r="E38" s="20"/>
      <c r="F38" s="49">
        <v>11</v>
      </c>
      <c r="G38" s="20"/>
      <c r="H38" s="20"/>
      <c r="I38" s="49">
        <v>4</v>
      </c>
      <c r="J38" s="20"/>
      <c r="K38" s="20"/>
      <c r="L38" s="49">
        <v>10</v>
      </c>
      <c r="M38" s="20"/>
      <c r="N38" s="20"/>
      <c r="O38" s="49">
        <v>2</v>
      </c>
      <c r="P38" s="20"/>
      <c r="Q38" s="32"/>
      <c r="R38" s="32"/>
      <c r="S38" s="32"/>
      <c r="T38" s="32"/>
      <c r="U38" s="32"/>
      <c r="V38" s="32"/>
      <c r="W38" s="32"/>
      <c r="X38" s="32"/>
    </row>
    <row r="39" spans="1:24" x14ac:dyDescent="0.35">
      <c r="A39" s="78" t="s">
        <v>38</v>
      </c>
      <c r="B39" s="78"/>
      <c r="C39" s="78"/>
      <c r="D39" s="78"/>
      <c r="E39" s="78"/>
      <c r="F39" s="78"/>
      <c r="G39" s="78"/>
      <c r="H39" s="78"/>
      <c r="I39" s="78"/>
      <c r="J39" s="78"/>
      <c r="K39" s="25"/>
      <c r="L39" s="25"/>
      <c r="M39" s="25"/>
      <c r="N39" s="25"/>
      <c r="O39" s="25"/>
      <c r="P39" s="25"/>
      <c r="Q39" s="32"/>
      <c r="R39" s="32"/>
      <c r="S39" s="32"/>
      <c r="T39" s="32"/>
      <c r="U39" s="32"/>
      <c r="V39" s="32"/>
      <c r="W39" s="32"/>
      <c r="X39" s="32"/>
    </row>
    <row r="40" spans="1:24" x14ac:dyDescent="0.35">
      <c r="A40" s="78" t="s">
        <v>44</v>
      </c>
      <c r="B40" s="78"/>
      <c r="C40" s="78"/>
      <c r="D40" s="78"/>
      <c r="E40" s="78"/>
      <c r="F40" s="78"/>
      <c r="G40" s="78"/>
      <c r="H40" s="78"/>
      <c r="I40" s="78"/>
      <c r="J40" s="78"/>
      <c r="K40" s="25"/>
      <c r="L40" s="25"/>
      <c r="M40" s="25"/>
      <c r="N40" s="25"/>
      <c r="O40" s="25"/>
      <c r="P40" s="25"/>
      <c r="Q40" s="32"/>
      <c r="R40" s="32"/>
      <c r="S40" s="32"/>
      <c r="T40" s="32"/>
      <c r="U40" s="32"/>
      <c r="V40" s="32"/>
      <c r="W40" s="32"/>
      <c r="X40" s="32"/>
    </row>
    <row r="41" spans="1:24" x14ac:dyDescent="0.35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32"/>
      <c r="R41" s="32"/>
      <c r="S41" s="32"/>
      <c r="T41" s="32"/>
      <c r="U41" s="32"/>
      <c r="V41" s="32"/>
      <c r="W41" s="32"/>
      <c r="X41" s="32"/>
    </row>
    <row r="42" spans="1:24" x14ac:dyDescent="0.35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32"/>
      <c r="R42" s="32"/>
      <c r="S42" s="32"/>
      <c r="T42" s="32"/>
      <c r="U42" s="32"/>
      <c r="V42" s="32"/>
      <c r="W42" s="32"/>
      <c r="X42" s="32"/>
    </row>
    <row r="43" spans="1:24" x14ac:dyDescent="0.3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32"/>
      <c r="R43" s="32"/>
      <c r="S43" s="32"/>
      <c r="T43" s="32"/>
      <c r="U43" s="32"/>
      <c r="V43" s="32"/>
      <c r="W43" s="32"/>
      <c r="X43" s="32"/>
    </row>
    <row r="44" spans="1:24" x14ac:dyDescent="0.35">
      <c r="Q44" s="32"/>
      <c r="R44" s="32"/>
      <c r="S44" s="32"/>
      <c r="T44" s="32"/>
      <c r="U44" s="32"/>
      <c r="V44" s="32"/>
      <c r="W44" s="32"/>
      <c r="X44" s="32"/>
    </row>
  </sheetData>
  <mergeCells count="37">
    <mergeCell ref="E1:Z6"/>
    <mergeCell ref="A7:A9"/>
    <mergeCell ref="B7:J7"/>
    <mergeCell ref="V7:Z7"/>
    <mergeCell ref="B8:B9"/>
    <mergeCell ref="C8:D8"/>
    <mergeCell ref="E8:F8"/>
    <mergeCell ref="G8:H8"/>
    <mergeCell ref="I8:J8"/>
    <mergeCell ref="W8:X8"/>
    <mergeCell ref="Y8:Z8"/>
    <mergeCell ref="V8:V9"/>
    <mergeCell ref="K7:Q7"/>
    <mergeCell ref="K8:K9"/>
    <mergeCell ref="L8:M8"/>
    <mergeCell ref="N8:Q8"/>
    <mergeCell ref="A21:J21"/>
    <mergeCell ref="A22:J22"/>
    <mergeCell ref="A24:A26"/>
    <mergeCell ref="B24:D24"/>
    <mergeCell ref="E24:J24"/>
    <mergeCell ref="R8:S8"/>
    <mergeCell ref="T8:U8"/>
    <mergeCell ref="O25:P25"/>
    <mergeCell ref="A39:J39"/>
    <mergeCell ref="A40:J40"/>
    <mergeCell ref="K24:P24"/>
    <mergeCell ref="R24:T25"/>
    <mergeCell ref="B25:B26"/>
    <mergeCell ref="C25:D25"/>
    <mergeCell ref="E25:E26"/>
    <mergeCell ref="F25:G25"/>
    <mergeCell ref="H25:H26"/>
    <mergeCell ref="I25:J25"/>
    <mergeCell ref="K25:K26"/>
    <mergeCell ref="L25:M25"/>
    <mergeCell ref="N25:N26"/>
  </mergeCells>
  <conditionalFormatting sqref="B3">
    <cfRule type="iconSet" priority="1">
      <iconSet>
        <cfvo type="percent" val="0"/>
        <cfvo type="num" val="0.1333"/>
        <cfvo type="num" val="0.1583"/>
      </iconSet>
    </cfRule>
  </conditionalFormatting>
  <conditionalFormatting sqref="B4">
    <cfRule type="iconSet" priority="3">
      <iconSet>
        <cfvo type="percent" val="0"/>
        <cfvo type="num" val="0.1333"/>
        <cfvo type="num" val="0.1583"/>
      </iconSet>
    </cfRule>
  </conditionalFormatting>
  <conditionalFormatting sqref="C6 B3:B5">
    <cfRule type="iconSet" priority="2">
      <iconSet>
        <cfvo type="percent" val="0"/>
        <cfvo type="num" val="0.1333"/>
        <cfvo type="num" val="0.158"/>
      </iconSet>
    </cfRule>
  </conditionalFormatting>
  <conditionalFormatting sqref="C6 B5">
    <cfRule type="iconSet" priority="4">
      <iconSet>
        <cfvo type="percent" val="0"/>
        <cfvo type="num" val="0.1333"/>
        <cfvo type="num" val="0.1583"/>
      </iconSet>
    </cfRule>
  </conditionalFormatting>
  <conditionalFormatting sqref="D10:D18">
    <cfRule type="iconSet" priority="29">
      <iconSet>
        <cfvo type="percent" val="0"/>
        <cfvo type="num" val="0.33"/>
        <cfvo type="num" val="0.41499999999999998"/>
      </iconSet>
    </cfRule>
  </conditionalFormatting>
  <conditionalFormatting sqref="D27:D33">
    <cfRule type="iconSet" priority="18">
      <iconSet>
        <cfvo type="percent" val="0"/>
        <cfvo type="num" val="0.33"/>
        <cfvo type="num" val="0.41499999999999998"/>
      </iconSet>
    </cfRule>
  </conditionalFormatting>
  <conditionalFormatting sqref="D35:D36">
    <cfRule type="iconSet" priority="17">
      <iconSet>
        <cfvo type="percent" val="0"/>
        <cfvo type="num" val="0.33"/>
        <cfvo type="num" val="0.41499999999999998"/>
      </iconSet>
    </cfRule>
  </conditionalFormatting>
  <conditionalFormatting sqref="F10:F18">
    <cfRule type="iconSet" priority="28">
      <iconSet>
        <cfvo type="percent" val="0"/>
        <cfvo type="num" val="0.33"/>
        <cfvo type="num" val="0.41499999999999998"/>
      </iconSet>
    </cfRule>
  </conditionalFormatting>
  <conditionalFormatting sqref="G27:G33">
    <cfRule type="iconSet" priority="16">
      <iconSet>
        <cfvo type="percent" val="0"/>
        <cfvo type="num" val="0.33"/>
        <cfvo type="num" val="0.41499999999999998"/>
      </iconSet>
    </cfRule>
  </conditionalFormatting>
  <conditionalFormatting sqref="G35:G36">
    <cfRule type="iconSet" priority="12">
      <iconSet>
        <cfvo type="percent" val="0"/>
        <cfvo type="num" val="0.33"/>
        <cfvo type="num" val="0.41499999999999998"/>
      </iconSet>
    </cfRule>
  </conditionalFormatting>
  <conditionalFormatting sqref="H10:H18">
    <cfRule type="iconSet" priority="27">
      <iconSet>
        <cfvo type="percent" val="0"/>
        <cfvo type="num" val="0.33"/>
        <cfvo type="num" val="0.41499999999999998"/>
      </iconSet>
    </cfRule>
  </conditionalFormatting>
  <conditionalFormatting sqref="J10:J18">
    <cfRule type="iconSet" priority="26">
      <iconSet>
        <cfvo type="percent" val="0"/>
        <cfvo type="num" val="0.33"/>
        <cfvo type="num" val="0.41499999999999998"/>
      </iconSet>
    </cfRule>
  </conditionalFormatting>
  <conditionalFormatting sqref="J27:J33">
    <cfRule type="iconSet" priority="15">
      <iconSet>
        <cfvo type="percent" val="0"/>
        <cfvo type="num" val="0.33"/>
        <cfvo type="num" val="0.41499999999999998"/>
      </iconSet>
    </cfRule>
  </conditionalFormatting>
  <conditionalFormatting sqref="J35:J36">
    <cfRule type="iconSet" priority="11">
      <iconSet>
        <cfvo type="percent" val="0"/>
        <cfvo type="num" val="0.33"/>
        <cfvo type="num" val="0.41499999999999998"/>
      </iconSet>
    </cfRule>
  </conditionalFormatting>
  <conditionalFormatting sqref="M10:M18">
    <cfRule type="iconSet" priority="25">
      <iconSet>
        <cfvo type="percent" val="0"/>
        <cfvo type="num" val="0.33"/>
        <cfvo type="num" val="0.41499999999999998"/>
      </iconSet>
    </cfRule>
  </conditionalFormatting>
  <conditionalFormatting sqref="M27:M33">
    <cfRule type="iconSet" priority="14">
      <iconSet>
        <cfvo type="percent" val="0"/>
        <cfvo type="num" val="0.33"/>
        <cfvo type="num" val="0.41499999999999998"/>
      </iconSet>
    </cfRule>
  </conditionalFormatting>
  <conditionalFormatting sqref="M35:M36">
    <cfRule type="iconSet" priority="10">
      <iconSet>
        <cfvo type="percent" val="0"/>
        <cfvo type="num" val="0.33"/>
        <cfvo type="num" val="0.41499999999999998"/>
      </iconSet>
    </cfRule>
  </conditionalFormatting>
  <conditionalFormatting sqref="O10:O18">
    <cfRule type="iconSet" priority="24">
      <iconSet>
        <cfvo type="percent" val="0"/>
        <cfvo type="num" val="0.33"/>
        <cfvo type="num" val="0.41499999999999998"/>
      </iconSet>
    </cfRule>
  </conditionalFormatting>
  <conditionalFormatting sqref="P27:P33">
    <cfRule type="iconSet" priority="13">
      <iconSet>
        <cfvo type="percent" val="0"/>
        <cfvo type="num" val="0.33"/>
        <cfvo type="num" val="0.41499999999999998"/>
      </iconSet>
    </cfRule>
  </conditionalFormatting>
  <conditionalFormatting sqref="P35:P36">
    <cfRule type="iconSet" priority="9">
      <iconSet>
        <cfvo type="percent" val="0"/>
        <cfvo type="num" val="0.33"/>
        <cfvo type="num" val="0.41499999999999998"/>
      </iconSet>
    </cfRule>
  </conditionalFormatting>
  <conditionalFormatting sqref="Q10:Q18">
    <cfRule type="iconSet" priority="23">
      <iconSet>
        <cfvo type="percent" val="0"/>
        <cfvo type="num" val="0.33"/>
        <cfvo type="num" val="0.41499999999999998"/>
      </iconSet>
    </cfRule>
  </conditionalFormatting>
  <conditionalFormatting sqref="S10:S18">
    <cfRule type="iconSet" priority="22">
      <iconSet>
        <cfvo type="percent" val="0"/>
        <cfvo type="num" val="0.33"/>
        <cfvo type="num" val="0.41499999999999998"/>
      </iconSet>
    </cfRule>
  </conditionalFormatting>
  <conditionalFormatting sqref="S27">
    <cfRule type="iconSet" priority="5">
      <iconSet>
        <cfvo type="percent" val="0"/>
        <cfvo type="num" val="0.1333"/>
        <cfvo type="num" val="0.1583"/>
      </iconSet>
    </cfRule>
  </conditionalFormatting>
  <conditionalFormatting sqref="S27:S29">
    <cfRule type="iconSet" priority="6">
      <iconSet>
        <cfvo type="percent" val="0"/>
        <cfvo type="num" val="0.1333"/>
        <cfvo type="num" val="0.158"/>
      </iconSet>
    </cfRule>
  </conditionalFormatting>
  <conditionalFormatting sqref="S28">
    <cfRule type="iconSet" priority="7">
      <iconSet>
        <cfvo type="percent" val="0"/>
        <cfvo type="num" val="0.1333"/>
        <cfvo type="num" val="0.1583"/>
      </iconSet>
    </cfRule>
  </conditionalFormatting>
  <conditionalFormatting sqref="S29">
    <cfRule type="iconSet" priority="8">
      <iconSet>
        <cfvo type="percent" val="0"/>
        <cfvo type="num" val="0.1333"/>
        <cfvo type="num" val="0.1583"/>
      </iconSet>
    </cfRule>
  </conditionalFormatting>
  <conditionalFormatting sqref="U10:U18">
    <cfRule type="iconSet" priority="21">
      <iconSet>
        <cfvo type="percent" val="0"/>
        <cfvo type="num" val="0.33"/>
        <cfvo type="num" val="0.41499999999999998"/>
      </iconSet>
    </cfRule>
  </conditionalFormatting>
  <conditionalFormatting sqref="X10:X18">
    <cfRule type="iconSet" priority="20">
      <iconSet>
        <cfvo type="percent" val="0"/>
        <cfvo type="num" val="0.33"/>
        <cfvo type="num" val="0.41499999999999998"/>
      </iconSet>
    </cfRule>
  </conditionalFormatting>
  <conditionalFormatting sqref="Z10:Z18">
    <cfRule type="iconSet" priority="19">
      <iconSet>
        <cfvo type="percent" val="0"/>
        <cfvo type="num" val="0.33"/>
        <cfvo type="num" val="0.41499999999999998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1EB7-6B8D-409A-B550-DFB1291DA5A8}">
  <dimension ref="A1:Z44"/>
  <sheetViews>
    <sheetView topLeftCell="A16" zoomScale="90" zoomScaleNormal="90" workbookViewId="0">
      <selection activeCell="A24" sqref="A24:U40"/>
    </sheetView>
  </sheetViews>
  <sheetFormatPr baseColWidth="10" defaultRowHeight="14.5" x14ac:dyDescent="0.35"/>
  <cols>
    <col min="1" max="1" width="15.81640625" customWidth="1"/>
    <col min="2" max="2" width="6.1796875" style="31" customWidth="1"/>
    <col min="3" max="3" width="6.1796875" customWidth="1"/>
    <col min="4" max="4" width="7.08984375" customWidth="1"/>
    <col min="5" max="5" width="6.1796875" customWidth="1"/>
    <col min="6" max="6" width="6.7265625" customWidth="1"/>
    <col min="7" max="7" width="6.1796875" customWidth="1"/>
    <col min="8" max="8" width="7.1796875" customWidth="1"/>
    <col min="9" max="9" width="6.81640625" customWidth="1"/>
    <col min="10" max="10" width="7.08984375" customWidth="1"/>
    <col min="11" max="11" width="5.7265625" customWidth="1"/>
    <col min="12" max="12" width="6.81640625" customWidth="1"/>
    <col min="13" max="13" width="7.6328125" customWidth="1"/>
    <col min="14" max="14" width="6.36328125" customWidth="1"/>
    <col min="15" max="15" width="7.26953125" customWidth="1"/>
    <col min="16" max="16" width="6.54296875" customWidth="1"/>
    <col min="17" max="17" width="8.90625" customWidth="1"/>
    <col min="18" max="18" width="7.81640625" customWidth="1"/>
    <col min="19" max="19" width="6.54296875" customWidth="1"/>
    <col min="20" max="20" width="6.08984375" customWidth="1"/>
    <col min="21" max="21" width="7.26953125" customWidth="1"/>
    <col min="22" max="22" width="5.90625" customWidth="1"/>
    <col min="23" max="23" width="6.81640625" customWidth="1"/>
    <col min="24" max="24" width="6.6328125" customWidth="1"/>
    <col min="25" max="25" width="6.08984375" customWidth="1"/>
    <col min="26" max="26" width="7.36328125" customWidth="1"/>
  </cols>
  <sheetData>
    <row r="1" spans="1:26" s="32" customFormat="1" ht="22" customHeight="1" x14ac:dyDescent="0.35">
      <c r="A1" s="45" t="s">
        <v>43</v>
      </c>
      <c r="B1" s="46"/>
      <c r="C1" s="45"/>
      <c r="D1" s="45"/>
      <c r="E1" s="94" t="s">
        <v>37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s="32" customFormat="1" ht="5.5" customHeight="1" x14ac:dyDescent="0.35">
      <c r="A2" s="45"/>
      <c r="B2" s="46"/>
      <c r="C2" s="45"/>
      <c r="D2" s="45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14.5" customHeight="1" x14ac:dyDescent="0.35">
      <c r="A3" s="38"/>
      <c r="B3" s="39" t="s">
        <v>40</v>
      </c>
      <c r="D3" s="32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14.5" customHeight="1" x14ac:dyDescent="0.4">
      <c r="A4" s="40"/>
      <c r="B4" s="41" t="s">
        <v>41</v>
      </c>
      <c r="C4" s="32"/>
      <c r="D4" s="32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14.5" customHeight="1" x14ac:dyDescent="0.4">
      <c r="A5" s="42"/>
      <c r="B5" s="41" t="s">
        <v>42</v>
      </c>
      <c r="D5" s="32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s="32" customFormat="1" ht="9" customHeight="1" x14ac:dyDescent="0.4">
      <c r="A6" s="43"/>
      <c r="B6" s="44"/>
      <c r="C6" s="41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4.5" customHeight="1" x14ac:dyDescent="0.35">
      <c r="A7" s="86" t="s">
        <v>36</v>
      </c>
      <c r="B7" s="57" t="s">
        <v>0</v>
      </c>
      <c r="C7" s="93"/>
      <c r="D7" s="93"/>
      <c r="E7" s="93"/>
      <c r="F7" s="93"/>
      <c r="G7" s="93"/>
      <c r="H7" s="93"/>
      <c r="I7" s="93"/>
      <c r="J7" s="58"/>
      <c r="K7" s="59" t="s">
        <v>1</v>
      </c>
      <c r="L7" s="73"/>
      <c r="M7" s="73"/>
      <c r="N7" s="73"/>
      <c r="O7" s="73"/>
      <c r="P7" s="73"/>
      <c r="Q7" s="73"/>
      <c r="R7" s="51"/>
      <c r="S7" s="51"/>
      <c r="T7" s="51"/>
      <c r="U7" s="52"/>
      <c r="V7" s="70" t="s">
        <v>2</v>
      </c>
      <c r="W7" s="72"/>
      <c r="X7" s="72"/>
      <c r="Y7" s="72"/>
      <c r="Z7" s="71"/>
    </row>
    <row r="8" spans="1:26" x14ac:dyDescent="0.35">
      <c r="A8" s="87"/>
      <c r="B8" s="89" t="s">
        <v>22</v>
      </c>
      <c r="C8" s="57" t="s">
        <v>7</v>
      </c>
      <c r="D8" s="58"/>
      <c r="E8" s="57" t="s">
        <v>8</v>
      </c>
      <c r="F8" s="58"/>
      <c r="G8" s="57" t="s">
        <v>9</v>
      </c>
      <c r="H8" s="58"/>
      <c r="I8" s="57" t="s">
        <v>10</v>
      </c>
      <c r="J8" s="58"/>
      <c r="K8" s="91" t="s">
        <v>22</v>
      </c>
      <c r="L8" s="59" t="s">
        <v>11</v>
      </c>
      <c r="M8" s="60"/>
      <c r="N8" s="59" t="s">
        <v>12</v>
      </c>
      <c r="O8" s="73"/>
      <c r="P8" s="73"/>
      <c r="Q8" s="60"/>
      <c r="R8" s="59" t="s">
        <v>13</v>
      </c>
      <c r="S8" s="60"/>
      <c r="T8" s="59" t="s">
        <v>7</v>
      </c>
      <c r="U8" s="60"/>
      <c r="V8" s="81" t="s">
        <v>22</v>
      </c>
      <c r="W8" s="70" t="s">
        <v>13</v>
      </c>
      <c r="X8" s="71"/>
      <c r="Y8" s="70" t="s">
        <v>14</v>
      </c>
      <c r="Z8" s="71"/>
    </row>
    <row r="9" spans="1:26" ht="27.5" customHeight="1" x14ac:dyDescent="0.35">
      <c r="A9" s="88"/>
      <c r="B9" s="90"/>
      <c r="C9" s="2" t="s">
        <v>16</v>
      </c>
      <c r="D9" s="2" t="s">
        <v>33</v>
      </c>
      <c r="E9" s="2" t="s">
        <v>17</v>
      </c>
      <c r="F9" s="2" t="s">
        <v>33</v>
      </c>
      <c r="G9" s="2" t="s">
        <v>16</v>
      </c>
      <c r="H9" s="2" t="s">
        <v>33</v>
      </c>
      <c r="I9" s="2" t="s">
        <v>17</v>
      </c>
      <c r="J9" s="2" t="s">
        <v>33</v>
      </c>
      <c r="K9" s="92"/>
      <c r="L9" s="1" t="s">
        <v>16</v>
      </c>
      <c r="M9" s="1" t="s">
        <v>33</v>
      </c>
      <c r="N9" s="1" t="s">
        <v>18</v>
      </c>
      <c r="O9" s="1" t="s">
        <v>33</v>
      </c>
      <c r="P9" s="1" t="s">
        <v>17</v>
      </c>
      <c r="Q9" s="1" t="s">
        <v>33</v>
      </c>
      <c r="R9" s="1" t="s">
        <v>20</v>
      </c>
      <c r="S9" s="1" t="s">
        <v>33</v>
      </c>
      <c r="T9" s="1" t="s">
        <v>20</v>
      </c>
      <c r="U9" s="1" t="s">
        <v>33</v>
      </c>
      <c r="V9" s="82"/>
      <c r="W9" s="3" t="s">
        <v>21</v>
      </c>
      <c r="X9" s="3" t="s">
        <v>33</v>
      </c>
      <c r="Y9" s="3" t="s">
        <v>21</v>
      </c>
      <c r="Z9" s="3" t="s">
        <v>33</v>
      </c>
    </row>
    <row r="10" spans="1:26" x14ac:dyDescent="0.35">
      <c r="A10" s="7" t="s">
        <v>23</v>
      </c>
      <c r="B10" s="9">
        <v>442</v>
      </c>
      <c r="C10" s="26">
        <v>114</v>
      </c>
      <c r="D10" s="37">
        <f>C10/B10</f>
        <v>0.25791855203619912</v>
      </c>
      <c r="E10" s="26">
        <v>116</v>
      </c>
      <c r="F10" s="37">
        <f>E10/B10</f>
        <v>0.26244343891402716</v>
      </c>
      <c r="G10" s="26">
        <v>114</v>
      </c>
      <c r="H10" s="37">
        <f>G10/B10</f>
        <v>0.25791855203619912</v>
      </c>
      <c r="I10" s="26">
        <v>118</v>
      </c>
      <c r="J10" s="37">
        <f>I10/B10</f>
        <v>0.2669683257918552</v>
      </c>
      <c r="K10" s="26">
        <v>595</v>
      </c>
      <c r="L10" s="26">
        <v>148</v>
      </c>
      <c r="M10" s="37">
        <f>L10/K10</f>
        <v>0.24873949579831933</v>
      </c>
      <c r="N10" s="26">
        <v>148</v>
      </c>
      <c r="O10" s="37">
        <f>N10/K10</f>
        <v>0.24873949579831933</v>
      </c>
      <c r="P10" s="26">
        <v>144</v>
      </c>
      <c r="Q10" s="37">
        <f>P10/K10</f>
        <v>0.24201680672268908</v>
      </c>
      <c r="R10" s="26">
        <v>111</v>
      </c>
      <c r="S10" s="37">
        <f t="shared" ref="S10:S18" si="0">R10/K10</f>
        <v>0.1865546218487395</v>
      </c>
      <c r="T10" s="26">
        <v>153</v>
      </c>
      <c r="U10" s="37">
        <f>T10/K10</f>
        <v>0.25714285714285712</v>
      </c>
      <c r="V10" s="26">
        <v>734</v>
      </c>
      <c r="W10" s="26">
        <v>198</v>
      </c>
      <c r="X10" s="37">
        <f>W10/V10</f>
        <v>0.26975476839237056</v>
      </c>
      <c r="Y10" s="26">
        <v>192</v>
      </c>
      <c r="Z10" s="37">
        <f>Y10/V10</f>
        <v>0.26158038147138962</v>
      </c>
    </row>
    <row r="11" spans="1:26" x14ac:dyDescent="0.35">
      <c r="A11" s="7" t="s">
        <v>24</v>
      </c>
      <c r="B11" s="9">
        <v>635</v>
      </c>
      <c r="C11" s="26">
        <v>187</v>
      </c>
      <c r="D11" s="37">
        <f t="shared" ref="D11:D18" si="1">C11/B11</f>
        <v>0.29448818897637796</v>
      </c>
      <c r="E11" s="26">
        <v>187</v>
      </c>
      <c r="F11" s="37">
        <f t="shared" ref="F11:F18" si="2">E11/B11</f>
        <v>0.29448818897637796</v>
      </c>
      <c r="G11" s="26">
        <v>187</v>
      </c>
      <c r="H11" s="37">
        <f t="shared" ref="H11:H18" si="3">G11/B11</f>
        <v>0.29448818897637796</v>
      </c>
      <c r="I11" s="26">
        <v>185</v>
      </c>
      <c r="J11" s="37">
        <f t="shared" ref="J11:J18" si="4">I11/B11</f>
        <v>0.29133858267716534</v>
      </c>
      <c r="K11" s="26">
        <v>711</v>
      </c>
      <c r="L11" s="26">
        <v>205</v>
      </c>
      <c r="M11" s="37">
        <f t="shared" ref="M11:M18" si="5">L11/K11</f>
        <v>0.28832630098452883</v>
      </c>
      <c r="N11" s="26">
        <v>212</v>
      </c>
      <c r="O11" s="37">
        <f t="shared" ref="O11:O18" si="6">N11/K11</f>
        <v>0.29817158931082982</v>
      </c>
      <c r="P11" s="26">
        <v>163</v>
      </c>
      <c r="Q11" s="37">
        <f t="shared" ref="Q11:Q18" si="7">P11/K11</f>
        <v>0.22925457102672292</v>
      </c>
      <c r="R11" s="26">
        <v>130</v>
      </c>
      <c r="S11" s="37">
        <f t="shared" si="0"/>
        <v>0.18284106891701829</v>
      </c>
      <c r="T11" s="26">
        <v>187</v>
      </c>
      <c r="U11" s="37">
        <f t="shared" ref="U11:U18" si="8">T11/K11</f>
        <v>0.26300984528832633</v>
      </c>
      <c r="V11" s="26">
        <v>806</v>
      </c>
      <c r="W11" s="26">
        <v>217</v>
      </c>
      <c r="X11" s="37">
        <f t="shared" ref="X11:X18" si="9">W11/V11</f>
        <v>0.26923076923076922</v>
      </c>
      <c r="Y11" s="26">
        <v>211</v>
      </c>
      <c r="Z11" s="37">
        <f t="shared" ref="Z11:Z18" si="10">Y11/V11</f>
        <v>0.26178660049627789</v>
      </c>
    </row>
    <row r="12" spans="1:26" x14ac:dyDescent="0.35">
      <c r="A12" s="7" t="s">
        <v>25</v>
      </c>
      <c r="B12" s="9">
        <v>130</v>
      </c>
      <c r="C12" s="26">
        <v>38</v>
      </c>
      <c r="D12" s="37">
        <f t="shared" si="1"/>
        <v>0.29230769230769232</v>
      </c>
      <c r="E12" s="26">
        <v>31</v>
      </c>
      <c r="F12" s="37">
        <f t="shared" si="2"/>
        <v>0.23846153846153847</v>
      </c>
      <c r="G12" s="26">
        <v>38</v>
      </c>
      <c r="H12" s="37">
        <f t="shared" si="3"/>
        <v>0.29230769230769232</v>
      </c>
      <c r="I12" s="26">
        <v>32</v>
      </c>
      <c r="J12" s="37">
        <f t="shared" si="4"/>
        <v>0.24615384615384617</v>
      </c>
      <c r="K12" s="26">
        <v>161</v>
      </c>
      <c r="L12" s="26">
        <v>46</v>
      </c>
      <c r="M12" s="37">
        <f t="shared" si="5"/>
        <v>0.2857142857142857</v>
      </c>
      <c r="N12" s="26">
        <v>47</v>
      </c>
      <c r="O12" s="37">
        <f t="shared" si="6"/>
        <v>0.29192546583850931</v>
      </c>
      <c r="P12" s="26">
        <v>44</v>
      </c>
      <c r="Q12" s="37">
        <f t="shared" si="7"/>
        <v>0.27329192546583853</v>
      </c>
      <c r="R12" s="26">
        <v>30</v>
      </c>
      <c r="S12" s="37">
        <f t="shared" si="0"/>
        <v>0.18633540372670807</v>
      </c>
      <c r="T12" s="26">
        <v>45</v>
      </c>
      <c r="U12" s="37">
        <f t="shared" si="8"/>
        <v>0.27950310559006208</v>
      </c>
      <c r="V12" s="26">
        <v>221</v>
      </c>
      <c r="W12" s="26">
        <v>70</v>
      </c>
      <c r="X12" s="37">
        <f t="shared" si="9"/>
        <v>0.31674208144796379</v>
      </c>
      <c r="Y12" s="26">
        <v>70</v>
      </c>
      <c r="Z12" s="37">
        <f t="shared" si="10"/>
        <v>0.31674208144796379</v>
      </c>
    </row>
    <row r="13" spans="1:26" x14ac:dyDescent="0.35">
      <c r="A13" s="7" t="s">
        <v>26</v>
      </c>
      <c r="B13" s="9">
        <v>402</v>
      </c>
      <c r="C13" s="26">
        <v>143</v>
      </c>
      <c r="D13" s="37">
        <f t="shared" si="1"/>
        <v>0.35572139303482586</v>
      </c>
      <c r="E13" s="26">
        <v>128</v>
      </c>
      <c r="F13" s="37">
        <f t="shared" si="2"/>
        <v>0.31840796019900497</v>
      </c>
      <c r="G13" s="26">
        <v>144</v>
      </c>
      <c r="H13" s="37">
        <f t="shared" si="3"/>
        <v>0.35820895522388058</v>
      </c>
      <c r="I13" s="26">
        <v>128</v>
      </c>
      <c r="J13" s="37">
        <f t="shared" si="4"/>
        <v>0.31840796019900497</v>
      </c>
      <c r="K13" s="26">
        <v>489</v>
      </c>
      <c r="L13" s="26">
        <v>143</v>
      </c>
      <c r="M13" s="37">
        <f t="shared" si="5"/>
        <v>0.29243353783231085</v>
      </c>
      <c r="N13" s="26">
        <v>149</v>
      </c>
      <c r="O13" s="37">
        <f t="shared" si="6"/>
        <v>0.30470347648261759</v>
      </c>
      <c r="P13" s="26">
        <v>117</v>
      </c>
      <c r="Q13" s="37">
        <f t="shared" si="7"/>
        <v>0.2392638036809816</v>
      </c>
      <c r="R13" s="26">
        <v>94</v>
      </c>
      <c r="S13" s="37">
        <f t="shared" si="0"/>
        <v>0.19222903885480572</v>
      </c>
      <c r="T13" s="26">
        <v>115</v>
      </c>
      <c r="U13" s="37">
        <f t="shared" si="8"/>
        <v>0.23517382413087934</v>
      </c>
      <c r="V13" s="26">
        <v>676</v>
      </c>
      <c r="W13" s="26">
        <v>170</v>
      </c>
      <c r="X13" s="37">
        <f t="shared" si="9"/>
        <v>0.25147928994082841</v>
      </c>
      <c r="Y13" s="26">
        <v>173</v>
      </c>
      <c r="Z13" s="37">
        <f t="shared" si="10"/>
        <v>0.25591715976331358</v>
      </c>
    </row>
    <row r="14" spans="1:26" x14ac:dyDescent="0.35">
      <c r="A14" s="7" t="s">
        <v>28</v>
      </c>
      <c r="B14" s="9">
        <v>132</v>
      </c>
      <c r="C14" s="26">
        <v>61</v>
      </c>
      <c r="D14" s="37">
        <f t="shared" si="1"/>
        <v>0.4621212121212121</v>
      </c>
      <c r="E14" s="26">
        <v>56</v>
      </c>
      <c r="F14" s="37">
        <f t="shared" si="2"/>
        <v>0.42424242424242425</v>
      </c>
      <c r="G14" s="26">
        <v>61</v>
      </c>
      <c r="H14" s="37">
        <f t="shared" si="3"/>
        <v>0.4621212121212121</v>
      </c>
      <c r="I14" s="26">
        <v>56</v>
      </c>
      <c r="J14" s="37">
        <f t="shared" si="4"/>
        <v>0.42424242424242425</v>
      </c>
      <c r="K14" s="26">
        <v>167</v>
      </c>
      <c r="L14" s="26">
        <v>46</v>
      </c>
      <c r="M14" s="37">
        <f t="shared" si="5"/>
        <v>0.27544910179640719</v>
      </c>
      <c r="N14" s="26">
        <v>46</v>
      </c>
      <c r="O14" s="37">
        <f t="shared" si="6"/>
        <v>0.27544910179640719</v>
      </c>
      <c r="P14" s="26">
        <v>33</v>
      </c>
      <c r="Q14" s="37">
        <f t="shared" si="7"/>
        <v>0.19760479041916168</v>
      </c>
      <c r="R14" s="26">
        <v>18</v>
      </c>
      <c r="S14" s="37">
        <f t="shared" si="0"/>
        <v>0.10778443113772455</v>
      </c>
      <c r="T14" s="26">
        <v>36</v>
      </c>
      <c r="U14" s="37">
        <f t="shared" si="8"/>
        <v>0.21556886227544911</v>
      </c>
      <c r="V14" s="26">
        <v>255</v>
      </c>
      <c r="W14" s="26">
        <v>88</v>
      </c>
      <c r="X14" s="37">
        <f t="shared" si="9"/>
        <v>0.34509803921568627</v>
      </c>
      <c r="Y14" s="26">
        <v>87</v>
      </c>
      <c r="Z14" s="37">
        <f t="shared" si="10"/>
        <v>0.3411764705882353</v>
      </c>
    </row>
    <row r="15" spans="1:26" x14ac:dyDescent="0.35">
      <c r="A15" s="7" t="s">
        <v>29</v>
      </c>
      <c r="B15" s="9">
        <v>945</v>
      </c>
      <c r="C15" s="26">
        <v>310</v>
      </c>
      <c r="D15" s="37">
        <f t="shared" si="1"/>
        <v>0.32804232804232802</v>
      </c>
      <c r="E15" s="26">
        <v>321</v>
      </c>
      <c r="F15" s="37">
        <f t="shared" si="2"/>
        <v>0.3396825396825397</v>
      </c>
      <c r="G15" s="26">
        <v>311</v>
      </c>
      <c r="H15" s="37">
        <f t="shared" si="3"/>
        <v>0.32910052910052912</v>
      </c>
      <c r="I15" s="26">
        <v>327</v>
      </c>
      <c r="J15" s="37">
        <f t="shared" si="4"/>
        <v>0.34603174603174602</v>
      </c>
      <c r="K15" s="26">
        <v>1174</v>
      </c>
      <c r="L15" s="26">
        <v>349</v>
      </c>
      <c r="M15" s="37">
        <f t="shared" si="5"/>
        <v>0.29727427597955708</v>
      </c>
      <c r="N15" s="26">
        <v>353</v>
      </c>
      <c r="O15" s="37">
        <f t="shared" si="6"/>
        <v>0.30068143100511074</v>
      </c>
      <c r="P15" s="26">
        <v>308</v>
      </c>
      <c r="Q15" s="37">
        <f t="shared" si="7"/>
        <v>0.26235093696763201</v>
      </c>
      <c r="R15" s="26">
        <v>189</v>
      </c>
      <c r="S15" s="37">
        <f t="shared" si="0"/>
        <v>0.16098807495741055</v>
      </c>
      <c r="T15" s="26">
        <v>324</v>
      </c>
      <c r="U15" s="37">
        <f t="shared" si="8"/>
        <v>0.27597955706984667</v>
      </c>
      <c r="V15" s="26">
        <v>1562</v>
      </c>
      <c r="W15" s="26">
        <v>503</v>
      </c>
      <c r="X15" s="37">
        <f t="shared" si="9"/>
        <v>0.32202304737516008</v>
      </c>
      <c r="Y15" s="26">
        <v>491</v>
      </c>
      <c r="Z15" s="37">
        <f t="shared" si="10"/>
        <v>0.31434058898847633</v>
      </c>
    </row>
    <row r="16" spans="1:26" x14ac:dyDescent="0.35">
      <c r="A16" s="7" t="s">
        <v>34</v>
      </c>
      <c r="B16" s="9">
        <v>321</v>
      </c>
      <c r="C16" s="26">
        <v>54</v>
      </c>
      <c r="D16" s="37">
        <f t="shared" si="1"/>
        <v>0.16822429906542055</v>
      </c>
      <c r="E16" s="26">
        <v>62</v>
      </c>
      <c r="F16" s="37">
        <f t="shared" si="2"/>
        <v>0.19314641744548286</v>
      </c>
      <c r="G16" s="26">
        <v>55</v>
      </c>
      <c r="H16" s="37">
        <f t="shared" si="3"/>
        <v>0.17133956386292834</v>
      </c>
      <c r="I16" s="26">
        <v>62</v>
      </c>
      <c r="J16" s="37">
        <f t="shared" si="4"/>
        <v>0.19314641744548286</v>
      </c>
      <c r="K16" s="26">
        <v>327</v>
      </c>
      <c r="L16" s="26">
        <v>65</v>
      </c>
      <c r="M16" s="37">
        <f t="shared" si="5"/>
        <v>0.19877675840978593</v>
      </c>
      <c r="N16" s="26">
        <v>66</v>
      </c>
      <c r="O16" s="37">
        <f t="shared" si="6"/>
        <v>0.20183486238532111</v>
      </c>
      <c r="P16" s="26">
        <v>34</v>
      </c>
      <c r="Q16" s="37">
        <f t="shared" si="7"/>
        <v>0.10397553516819572</v>
      </c>
      <c r="R16" s="26">
        <v>32</v>
      </c>
      <c r="S16" s="37">
        <f t="shared" si="0"/>
        <v>9.7859327217125383E-2</v>
      </c>
      <c r="T16" s="26">
        <v>47</v>
      </c>
      <c r="U16" s="37">
        <f t="shared" si="8"/>
        <v>0.14373088685015289</v>
      </c>
      <c r="V16" s="26">
        <v>436</v>
      </c>
      <c r="W16" s="26">
        <v>53</v>
      </c>
      <c r="X16" s="37">
        <f t="shared" si="9"/>
        <v>0.12155963302752294</v>
      </c>
      <c r="Y16" s="26">
        <v>55</v>
      </c>
      <c r="Z16" s="37">
        <f t="shared" si="10"/>
        <v>0.12614678899082568</v>
      </c>
    </row>
    <row r="17" spans="1:26" x14ac:dyDescent="0.35">
      <c r="A17" s="13" t="s">
        <v>27</v>
      </c>
      <c r="B17" s="29">
        <v>1222</v>
      </c>
      <c r="C17" s="27">
        <f>SUM(C19:C20)</f>
        <v>378</v>
      </c>
      <c r="D17" s="37">
        <f t="shared" si="1"/>
        <v>0.30932896890343697</v>
      </c>
      <c r="E17" s="27">
        <f>SUM(E19:E20)</f>
        <v>383</v>
      </c>
      <c r="F17" s="37">
        <f t="shared" si="2"/>
        <v>0.31342062193126025</v>
      </c>
      <c r="G17" s="27">
        <f>SUM(G19:G20)</f>
        <v>376</v>
      </c>
      <c r="H17" s="37">
        <f t="shared" si="3"/>
        <v>0.30769230769230771</v>
      </c>
      <c r="I17" s="27">
        <f>SUM(I19:I20)</f>
        <v>391</v>
      </c>
      <c r="J17" s="37">
        <f t="shared" si="4"/>
        <v>0.31996726677577741</v>
      </c>
      <c r="K17" s="27">
        <v>1482</v>
      </c>
      <c r="L17" s="27">
        <f>SUM(L19:L20)</f>
        <v>458</v>
      </c>
      <c r="M17" s="37">
        <f t="shared" si="5"/>
        <v>0.30904183535762481</v>
      </c>
      <c r="N17" s="27">
        <f>SUM(N19:N20)</f>
        <v>470</v>
      </c>
      <c r="O17" s="37">
        <f t="shared" si="6"/>
        <v>0.31713900134952766</v>
      </c>
      <c r="P17" s="27">
        <f>SUM(P19:P20)</f>
        <v>368</v>
      </c>
      <c r="Q17" s="37">
        <f t="shared" si="7"/>
        <v>0.24831309041835359</v>
      </c>
      <c r="R17" s="27">
        <f>SUM(R19:R20)</f>
        <v>269</v>
      </c>
      <c r="S17" s="37">
        <f t="shared" si="0"/>
        <v>0.18151147098515519</v>
      </c>
      <c r="T17" s="27">
        <f>SUM(T19:T20)</f>
        <v>423</v>
      </c>
      <c r="U17" s="37">
        <f t="shared" si="8"/>
        <v>0.28542510121457487</v>
      </c>
      <c r="V17" s="27">
        <v>2023</v>
      </c>
      <c r="W17" s="27">
        <f>SUM(W19:W20)</f>
        <v>612</v>
      </c>
      <c r="X17" s="37">
        <f t="shared" si="9"/>
        <v>0.30252100840336132</v>
      </c>
      <c r="Y17" s="27">
        <f>SUM(Y19:Y20)</f>
        <v>609</v>
      </c>
      <c r="Z17" s="37">
        <f t="shared" si="10"/>
        <v>0.30103806228373703</v>
      </c>
    </row>
    <row r="18" spans="1:26" ht="14" customHeight="1" x14ac:dyDescent="0.35">
      <c r="A18" s="8" t="s">
        <v>30</v>
      </c>
      <c r="B18" s="30">
        <f>SUM(B10:B17)</f>
        <v>4229</v>
      </c>
      <c r="C18" s="28">
        <f>SUM(C10:C17)</f>
        <v>1285</v>
      </c>
      <c r="D18" s="37">
        <f t="shared" si="1"/>
        <v>0.30385433908725468</v>
      </c>
      <c r="E18" s="28">
        <f>SUM(E10:E17)</f>
        <v>1284</v>
      </c>
      <c r="F18" s="37">
        <f t="shared" si="2"/>
        <v>0.30361787656656419</v>
      </c>
      <c r="G18" s="28">
        <f>SUM(G10:G17)</f>
        <v>1286</v>
      </c>
      <c r="H18" s="37">
        <f t="shared" si="3"/>
        <v>0.30409080160794516</v>
      </c>
      <c r="I18" s="28">
        <f>SUM(I10:I17)</f>
        <v>1299</v>
      </c>
      <c r="J18" s="37">
        <f t="shared" si="4"/>
        <v>0.30716481437692128</v>
      </c>
      <c r="K18" s="28">
        <f>SUM(K10:K17)</f>
        <v>5106</v>
      </c>
      <c r="L18" s="28">
        <f>SUM(L10:L17)</f>
        <v>1460</v>
      </c>
      <c r="M18" s="37">
        <f t="shared" si="5"/>
        <v>0.28593811202506852</v>
      </c>
      <c r="N18" s="28">
        <f>SUM(N10:N17)</f>
        <v>1491</v>
      </c>
      <c r="O18" s="37">
        <f t="shared" si="6"/>
        <v>0.29200940070505288</v>
      </c>
      <c r="P18" s="28">
        <f>SUM(P10:P17)</f>
        <v>1211</v>
      </c>
      <c r="Q18" s="37">
        <f t="shared" si="7"/>
        <v>0.2371719545632589</v>
      </c>
      <c r="R18" s="28">
        <f>SUM(R10:R17)</f>
        <v>873</v>
      </c>
      <c r="S18" s="37">
        <f t="shared" si="0"/>
        <v>0.17097532314923619</v>
      </c>
      <c r="T18" s="28">
        <f>SUM(T10:T17)</f>
        <v>1330</v>
      </c>
      <c r="U18" s="37">
        <f t="shared" si="8"/>
        <v>0.26047786917352134</v>
      </c>
      <c r="V18" s="28">
        <f>SUM(V10:V17)</f>
        <v>6713</v>
      </c>
      <c r="W18" s="28">
        <f>SUM(W10:W17)</f>
        <v>1911</v>
      </c>
      <c r="X18" s="37">
        <f t="shared" si="9"/>
        <v>0.28467153284671531</v>
      </c>
      <c r="Y18" s="28">
        <f>SUM(Y10:Y17)</f>
        <v>1888</v>
      </c>
      <c r="Z18" s="37">
        <f t="shared" si="10"/>
        <v>0.2812453448532698</v>
      </c>
    </row>
    <row r="19" spans="1:26" ht="17.5" hidden="1" customHeight="1" x14ac:dyDescent="0.35">
      <c r="A19" s="20"/>
      <c r="B19" s="22"/>
      <c r="C19" s="23">
        <v>346</v>
      </c>
      <c r="D19" s="20"/>
      <c r="E19" s="20">
        <v>356</v>
      </c>
      <c r="F19" s="20"/>
      <c r="G19" s="50">
        <v>344</v>
      </c>
      <c r="H19" s="20"/>
      <c r="I19" s="15">
        <v>364</v>
      </c>
      <c r="J19" s="20"/>
      <c r="K19" s="20"/>
      <c r="L19" s="15">
        <v>418</v>
      </c>
      <c r="M19" s="20"/>
      <c r="N19" s="15">
        <v>430</v>
      </c>
      <c r="O19" s="20"/>
      <c r="P19" s="15">
        <v>345</v>
      </c>
      <c r="Q19" s="20"/>
      <c r="R19" s="15">
        <v>247</v>
      </c>
      <c r="S19" s="20"/>
      <c r="T19" s="15">
        <v>392</v>
      </c>
      <c r="U19" s="20"/>
      <c r="V19" s="20"/>
      <c r="W19" s="15">
        <v>556</v>
      </c>
      <c r="X19" s="20"/>
      <c r="Y19" s="15">
        <v>553</v>
      </c>
      <c r="Z19" s="20"/>
    </row>
    <row r="20" spans="1:26" ht="15" hidden="1" customHeight="1" x14ac:dyDescent="0.35">
      <c r="A20" s="20"/>
      <c r="B20" s="22"/>
      <c r="C20" s="48">
        <v>32</v>
      </c>
      <c r="D20" s="20"/>
      <c r="E20" s="48">
        <v>27</v>
      </c>
      <c r="F20" s="20"/>
      <c r="G20" s="48">
        <v>32</v>
      </c>
      <c r="H20" s="20"/>
      <c r="I20" s="48">
        <v>27</v>
      </c>
      <c r="J20" s="20"/>
      <c r="K20" s="20"/>
      <c r="L20" s="48">
        <v>40</v>
      </c>
      <c r="M20" s="20"/>
      <c r="N20" s="48">
        <v>40</v>
      </c>
      <c r="O20" s="20"/>
      <c r="P20" s="48">
        <v>23</v>
      </c>
      <c r="Q20" s="20"/>
      <c r="R20" s="48">
        <v>22</v>
      </c>
      <c r="S20" s="20"/>
      <c r="T20" s="48">
        <v>31</v>
      </c>
      <c r="U20" s="20"/>
      <c r="V20" s="20"/>
      <c r="W20" s="48">
        <v>56</v>
      </c>
      <c r="X20" s="20"/>
      <c r="Y20" s="48">
        <v>56</v>
      </c>
      <c r="Z20" s="20"/>
    </row>
    <row r="21" spans="1:26" x14ac:dyDescent="0.35">
      <c r="A21" s="78" t="s">
        <v>38</v>
      </c>
      <c r="B21" s="78"/>
      <c r="C21" s="78"/>
      <c r="D21" s="78"/>
      <c r="E21" s="78"/>
      <c r="F21" s="78"/>
      <c r="G21" s="78"/>
      <c r="H21" s="78"/>
      <c r="I21" s="78"/>
      <c r="J21" s="78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x14ac:dyDescent="0.35">
      <c r="A22" s="78" t="s">
        <v>45</v>
      </c>
      <c r="B22" s="78"/>
      <c r="C22" s="78"/>
      <c r="D22" s="78"/>
      <c r="E22" s="78"/>
      <c r="F22" s="78"/>
      <c r="G22" s="78"/>
      <c r="H22" s="78"/>
      <c r="I22" s="78"/>
      <c r="J22" s="78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s="32" customFormat="1" x14ac:dyDescent="0.35">
      <c r="B23" s="33"/>
    </row>
    <row r="24" spans="1:26" ht="14.5" customHeight="1" x14ac:dyDescent="0.35">
      <c r="A24" s="86" t="s">
        <v>36</v>
      </c>
      <c r="B24" s="68" t="s">
        <v>3</v>
      </c>
      <c r="C24" s="74"/>
      <c r="D24" s="69"/>
      <c r="E24" s="65" t="s">
        <v>4</v>
      </c>
      <c r="F24" s="66"/>
      <c r="G24" s="66"/>
      <c r="H24" s="66"/>
      <c r="I24" s="66"/>
      <c r="J24" s="67"/>
      <c r="K24" s="79" t="s">
        <v>5</v>
      </c>
      <c r="L24" s="85"/>
      <c r="M24" s="85"/>
      <c r="N24" s="85"/>
      <c r="O24" s="85"/>
      <c r="P24" s="80"/>
      <c r="Q24" s="32"/>
      <c r="R24" s="96" t="s">
        <v>43</v>
      </c>
      <c r="S24" s="96"/>
      <c r="T24" s="96"/>
      <c r="U24" s="32"/>
      <c r="V24" s="32"/>
      <c r="W24" s="32"/>
      <c r="X24" s="32"/>
    </row>
    <row r="25" spans="1:26" ht="14.5" customHeight="1" x14ac:dyDescent="0.35">
      <c r="A25" s="87"/>
      <c r="B25" s="75" t="s">
        <v>22</v>
      </c>
      <c r="C25" s="68" t="s">
        <v>6</v>
      </c>
      <c r="D25" s="69"/>
      <c r="E25" s="63" t="s">
        <v>22</v>
      </c>
      <c r="F25" s="65" t="s">
        <v>31</v>
      </c>
      <c r="G25" s="67"/>
      <c r="H25" s="63" t="s">
        <v>22</v>
      </c>
      <c r="I25" s="65" t="s">
        <v>32</v>
      </c>
      <c r="J25" s="67"/>
      <c r="K25" s="61" t="s">
        <v>22</v>
      </c>
      <c r="L25" s="79" t="s">
        <v>8</v>
      </c>
      <c r="M25" s="80"/>
      <c r="N25" s="83" t="s">
        <v>22</v>
      </c>
      <c r="O25" s="79" t="s">
        <v>15</v>
      </c>
      <c r="P25" s="80"/>
      <c r="Q25" s="32"/>
      <c r="R25" s="96"/>
      <c r="S25" s="96"/>
      <c r="T25" s="96"/>
      <c r="U25" s="32"/>
      <c r="V25" s="32"/>
      <c r="W25" s="32"/>
      <c r="X25" s="32"/>
    </row>
    <row r="26" spans="1:26" x14ac:dyDescent="0.35">
      <c r="A26" s="88"/>
      <c r="B26" s="76"/>
      <c r="C26" s="4" t="s">
        <v>19</v>
      </c>
      <c r="D26" s="4" t="s">
        <v>33</v>
      </c>
      <c r="E26" s="64"/>
      <c r="F26" s="5" t="s">
        <v>19</v>
      </c>
      <c r="G26" s="5" t="s">
        <v>33</v>
      </c>
      <c r="H26" s="64"/>
      <c r="I26" s="5" t="s">
        <v>19</v>
      </c>
      <c r="J26" s="5" t="s">
        <v>33</v>
      </c>
      <c r="K26" s="62"/>
      <c r="L26" s="6" t="s">
        <v>19</v>
      </c>
      <c r="M26" s="6" t="s">
        <v>33</v>
      </c>
      <c r="N26" s="84"/>
      <c r="O26" s="6" t="s">
        <v>19</v>
      </c>
      <c r="P26" s="6" t="s">
        <v>33</v>
      </c>
      <c r="Q26" s="32"/>
      <c r="R26" s="32"/>
      <c r="S26" s="32"/>
      <c r="T26" s="32"/>
      <c r="U26" s="32"/>
      <c r="V26" s="32"/>
      <c r="W26" s="32"/>
      <c r="X26" s="32"/>
    </row>
    <row r="27" spans="1:26" ht="16.5" customHeight="1" x14ac:dyDescent="0.35">
      <c r="A27" s="47" t="s">
        <v>23</v>
      </c>
      <c r="B27" s="9">
        <v>338</v>
      </c>
      <c r="C27" s="9">
        <v>119</v>
      </c>
      <c r="D27" s="37">
        <f>C27/B27</f>
        <v>0.35207100591715978</v>
      </c>
      <c r="E27" s="9">
        <v>825</v>
      </c>
      <c r="F27" s="9">
        <v>138</v>
      </c>
      <c r="G27" s="37">
        <f>F27/E27</f>
        <v>0.16727272727272727</v>
      </c>
      <c r="H27" s="9">
        <v>546</v>
      </c>
      <c r="I27" s="9">
        <v>236</v>
      </c>
      <c r="J27" s="37">
        <f>I27/H27</f>
        <v>0.43223443223443225</v>
      </c>
      <c r="K27" s="9">
        <v>827</v>
      </c>
      <c r="L27" s="9">
        <v>149</v>
      </c>
      <c r="M27" s="37">
        <f>L27/K27</f>
        <v>0.18016928657799275</v>
      </c>
      <c r="N27" s="9">
        <v>1652</v>
      </c>
      <c r="O27" s="9">
        <v>854</v>
      </c>
      <c r="P27" s="37">
        <f>O27/N27</f>
        <v>0.51694915254237284</v>
      </c>
      <c r="Q27" s="32"/>
      <c r="R27" s="38"/>
      <c r="S27" s="39" t="s">
        <v>40</v>
      </c>
      <c r="T27" s="32"/>
      <c r="U27" s="32"/>
      <c r="V27" s="32"/>
      <c r="W27" s="32"/>
      <c r="X27" s="32"/>
    </row>
    <row r="28" spans="1:26" ht="15" customHeight="1" x14ac:dyDescent="0.4">
      <c r="A28" s="47" t="s">
        <v>24</v>
      </c>
      <c r="B28" s="9">
        <v>587</v>
      </c>
      <c r="C28" s="9">
        <v>184</v>
      </c>
      <c r="D28" s="37">
        <f t="shared" ref="D28:D33" si="11">C28/B28</f>
        <v>0.31345826235093699</v>
      </c>
      <c r="E28" s="9">
        <v>1062</v>
      </c>
      <c r="F28" s="9">
        <v>155</v>
      </c>
      <c r="G28" s="37">
        <f t="shared" ref="G28:G33" si="12">F28/E28</f>
        <v>0.14595103578154425</v>
      </c>
      <c r="H28" s="9">
        <v>735</v>
      </c>
      <c r="I28" s="9">
        <v>229</v>
      </c>
      <c r="J28" s="37">
        <f t="shared" ref="J28:J36" si="13">I28/H28</f>
        <v>0.31156462585034012</v>
      </c>
      <c r="K28" s="9">
        <v>1189</v>
      </c>
      <c r="L28" s="9">
        <v>105</v>
      </c>
      <c r="M28" s="37">
        <f t="shared" ref="M28:M36" si="14">L28/K28</f>
        <v>8.8309503784693016E-2</v>
      </c>
      <c r="N28" s="9">
        <v>2384</v>
      </c>
      <c r="O28" s="9">
        <v>842</v>
      </c>
      <c r="P28" s="37">
        <f t="shared" ref="P28:P33" si="15">O28/N28</f>
        <v>0.35318791946308725</v>
      </c>
      <c r="Q28" s="32"/>
      <c r="R28" s="40"/>
      <c r="S28" s="41" t="s">
        <v>41</v>
      </c>
      <c r="T28" s="32"/>
      <c r="U28" s="32"/>
      <c r="V28" s="32"/>
      <c r="W28" s="32"/>
      <c r="X28" s="32"/>
    </row>
    <row r="29" spans="1:26" ht="16.5" customHeight="1" x14ac:dyDescent="0.4">
      <c r="A29" s="47" t="s">
        <v>25</v>
      </c>
      <c r="B29" s="9">
        <v>83</v>
      </c>
      <c r="C29" s="9">
        <v>32</v>
      </c>
      <c r="D29" s="37">
        <f t="shared" si="11"/>
        <v>0.38554216867469882</v>
      </c>
      <c r="E29" s="9">
        <v>251</v>
      </c>
      <c r="F29" s="9">
        <v>44</v>
      </c>
      <c r="G29" s="37">
        <f t="shared" si="12"/>
        <v>0.1752988047808765</v>
      </c>
      <c r="H29" s="9">
        <v>184</v>
      </c>
      <c r="I29" s="9">
        <v>94</v>
      </c>
      <c r="J29" s="37">
        <f t="shared" si="13"/>
        <v>0.51086956521739135</v>
      </c>
      <c r="K29" s="9">
        <v>537</v>
      </c>
      <c r="L29" s="9">
        <v>49</v>
      </c>
      <c r="M29" s="37">
        <f t="shared" si="14"/>
        <v>9.1247672253258846E-2</v>
      </c>
      <c r="N29" s="9">
        <v>1074</v>
      </c>
      <c r="O29" s="9">
        <v>800</v>
      </c>
      <c r="P29" s="37">
        <f t="shared" si="15"/>
        <v>0.74487895716945995</v>
      </c>
      <c r="Q29" s="32"/>
      <c r="R29" s="42"/>
      <c r="S29" s="41" t="s">
        <v>42</v>
      </c>
      <c r="T29" s="32"/>
      <c r="U29" s="32"/>
      <c r="V29" s="32"/>
      <c r="W29" s="32"/>
      <c r="X29" s="32"/>
    </row>
    <row r="30" spans="1:26" x14ac:dyDescent="0.35">
      <c r="A30" s="7" t="s">
        <v>26</v>
      </c>
      <c r="B30" s="9">
        <v>321</v>
      </c>
      <c r="C30" s="9">
        <v>108</v>
      </c>
      <c r="D30" s="37">
        <f t="shared" si="11"/>
        <v>0.3364485981308411</v>
      </c>
      <c r="E30" s="9">
        <v>682</v>
      </c>
      <c r="F30" s="9">
        <v>75</v>
      </c>
      <c r="G30" s="37">
        <f t="shared" si="12"/>
        <v>0.10997067448680352</v>
      </c>
      <c r="H30" s="9">
        <v>476</v>
      </c>
      <c r="I30" s="9">
        <v>150</v>
      </c>
      <c r="J30" s="37">
        <f t="shared" si="13"/>
        <v>0.31512605042016806</v>
      </c>
      <c r="K30" s="9">
        <v>1076</v>
      </c>
      <c r="L30" s="9">
        <v>170</v>
      </c>
      <c r="M30" s="37">
        <f t="shared" si="14"/>
        <v>0.15799256505576209</v>
      </c>
      <c r="N30" s="9">
        <v>2145</v>
      </c>
      <c r="O30" s="9">
        <v>1262</v>
      </c>
      <c r="P30" s="37">
        <f t="shared" si="15"/>
        <v>0.58834498834498838</v>
      </c>
      <c r="Q30" s="32"/>
      <c r="R30" s="32"/>
      <c r="S30" s="32"/>
      <c r="T30" s="32"/>
      <c r="U30" s="32"/>
      <c r="V30" s="32"/>
      <c r="W30" s="32"/>
      <c r="X30" s="32"/>
    </row>
    <row r="31" spans="1:26" hidden="1" x14ac:dyDescent="0.35">
      <c r="B31" s="34"/>
      <c r="C31" s="34"/>
      <c r="D31" s="37" t="e">
        <f t="shared" si="11"/>
        <v>#DIV/0!</v>
      </c>
      <c r="E31" s="34"/>
      <c r="F31" s="34"/>
      <c r="G31" s="37" t="e">
        <f t="shared" si="12"/>
        <v>#DIV/0!</v>
      </c>
      <c r="H31" s="34"/>
      <c r="I31" s="34"/>
      <c r="J31" s="37" t="e">
        <f t="shared" si="13"/>
        <v>#DIV/0!</v>
      </c>
      <c r="K31" s="34"/>
      <c r="L31" s="34"/>
      <c r="M31" s="37" t="e">
        <f t="shared" si="14"/>
        <v>#DIV/0!</v>
      </c>
      <c r="N31" s="34"/>
      <c r="O31" s="34"/>
      <c r="P31" s="37" t="e">
        <f t="shared" si="15"/>
        <v>#DIV/0!</v>
      </c>
      <c r="Q31" s="32"/>
      <c r="R31" s="32"/>
      <c r="S31" s="32"/>
      <c r="T31" s="32"/>
      <c r="U31" s="32"/>
      <c r="V31" s="32"/>
      <c r="W31" s="32"/>
      <c r="X31" s="32"/>
    </row>
    <row r="32" spans="1:26" x14ac:dyDescent="0.35">
      <c r="A32" s="7" t="s">
        <v>28</v>
      </c>
      <c r="B32" s="9">
        <v>113</v>
      </c>
      <c r="C32" s="9">
        <v>41</v>
      </c>
      <c r="D32" s="37">
        <f t="shared" si="11"/>
        <v>0.36283185840707965</v>
      </c>
      <c r="E32" s="9">
        <v>269</v>
      </c>
      <c r="F32" s="9">
        <v>18</v>
      </c>
      <c r="G32" s="37">
        <f t="shared" si="12"/>
        <v>6.6914498141263934E-2</v>
      </c>
      <c r="H32" s="9">
        <v>241</v>
      </c>
      <c r="I32" s="9">
        <v>30</v>
      </c>
      <c r="J32" s="37">
        <f t="shared" si="13"/>
        <v>0.12448132780082988</v>
      </c>
      <c r="K32" s="9">
        <v>928</v>
      </c>
      <c r="L32" s="9">
        <v>37</v>
      </c>
      <c r="M32" s="37">
        <f t="shared" si="14"/>
        <v>3.9870689655172417E-2</v>
      </c>
      <c r="N32" s="9">
        <v>1858</v>
      </c>
      <c r="O32" s="9">
        <v>1191</v>
      </c>
      <c r="P32" s="37">
        <f t="shared" si="15"/>
        <v>0.64101184068891282</v>
      </c>
      <c r="Q32" s="32"/>
      <c r="R32" s="32"/>
      <c r="S32" s="32"/>
      <c r="T32" s="32"/>
      <c r="U32" s="32"/>
      <c r="V32" s="32"/>
      <c r="W32" s="32"/>
      <c r="X32" s="32"/>
    </row>
    <row r="33" spans="1:24" x14ac:dyDescent="0.35">
      <c r="A33" s="7" t="s">
        <v>29</v>
      </c>
      <c r="B33" s="9">
        <v>813</v>
      </c>
      <c r="C33" s="9">
        <v>277</v>
      </c>
      <c r="D33" s="37">
        <f t="shared" si="11"/>
        <v>0.34071340713407133</v>
      </c>
      <c r="E33" s="9">
        <v>1687</v>
      </c>
      <c r="F33" s="9">
        <v>278</v>
      </c>
      <c r="G33" s="37">
        <f t="shared" si="12"/>
        <v>0.16478956727919383</v>
      </c>
      <c r="H33" s="9">
        <v>1192</v>
      </c>
      <c r="I33" s="9">
        <v>346</v>
      </c>
      <c r="J33" s="37">
        <f t="shared" si="13"/>
        <v>0.29026845637583892</v>
      </c>
      <c r="K33" s="9">
        <v>1944</v>
      </c>
      <c r="L33" s="9">
        <v>315</v>
      </c>
      <c r="M33" s="37">
        <f t="shared" si="14"/>
        <v>0.16203703703703703</v>
      </c>
      <c r="N33" s="9">
        <v>3882</v>
      </c>
      <c r="O33" s="9">
        <v>2337</v>
      </c>
      <c r="P33" s="37">
        <f t="shared" si="15"/>
        <v>0.60200927357032452</v>
      </c>
      <c r="Q33" s="32"/>
      <c r="R33" s="32"/>
      <c r="S33" s="32"/>
      <c r="T33" s="32"/>
      <c r="U33" s="32"/>
      <c r="V33" s="32"/>
      <c r="W33" s="32"/>
      <c r="X33" s="32"/>
    </row>
    <row r="34" spans="1:24" x14ac:dyDescent="0.35">
      <c r="A34" s="7" t="s">
        <v>34</v>
      </c>
      <c r="B34" s="35"/>
      <c r="C34" s="9">
        <v>46</v>
      </c>
      <c r="D34" s="36"/>
      <c r="E34" s="35"/>
      <c r="F34" s="9">
        <v>15</v>
      </c>
      <c r="G34" s="36"/>
      <c r="H34" s="35"/>
      <c r="I34" s="9">
        <v>24</v>
      </c>
      <c r="J34" s="36"/>
      <c r="K34" s="35"/>
      <c r="L34" s="9">
        <v>34</v>
      </c>
      <c r="M34" s="36"/>
      <c r="N34" s="35"/>
      <c r="O34" s="9">
        <v>289</v>
      </c>
      <c r="P34" s="36"/>
      <c r="Q34" s="32"/>
      <c r="R34" s="32"/>
      <c r="S34" s="32"/>
      <c r="T34" s="32"/>
      <c r="U34" s="32"/>
      <c r="V34" s="32"/>
      <c r="W34" s="32"/>
      <c r="X34" s="32"/>
    </row>
    <row r="35" spans="1:24" x14ac:dyDescent="0.35">
      <c r="A35" s="13" t="s">
        <v>27</v>
      </c>
      <c r="B35" s="29">
        <v>1203</v>
      </c>
      <c r="C35" s="29">
        <f>SUM(C37:C38)</f>
        <v>430</v>
      </c>
      <c r="D35" s="37">
        <f>C35/B35</f>
        <v>0.35743973399833751</v>
      </c>
      <c r="E35" s="29">
        <v>2391</v>
      </c>
      <c r="F35" s="29">
        <f>SUM(F37:F38)</f>
        <v>184</v>
      </c>
      <c r="G35" s="37">
        <f>F35/E35</f>
        <v>7.6955248849853622E-2</v>
      </c>
      <c r="H35" s="29">
        <v>1650</v>
      </c>
      <c r="I35" s="29">
        <f>SUM(I37:I38)</f>
        <v>446</v>
      </c>
      <c r="J35" s="37">
        <f t="shared" si="13"/>
        <v>0.27030303030303032</v>
      </c>
      <c r="K35" s="29">
        <v>2538</v>
      </c>
      <c r="L35" s="29">
        <f>SUM(L37:L38)</f>
        <v>309</v>
      </c>
      <c r="M35" s="37">
        <f t="shared" si="14"/>
        <v>0.12174940898345153</v>
      </c>
      <c r="N35" s="29">
        <v>5073</v>
      </c>
      <c r="O35" s="29">
        <f>SUM(O37:O38)</f>
        <v>1946</v>
      </c>
      <c r="P35" s="37">
        <f t="shared" ref="P35:P36" si="16">O35/N35</f>
        <v>0.38359944805834811</v>
      </c>
      <c r="Q35" s="32"/>
      <c r="R35" s="32"/>
      <c r="S35" s="32"/>
      <c r="T35" s="32"/>
      <c r="U35" s="32"/>
      <c r="V35" s="32"/>
      <c r="W35" s="32"/>
      <c r="X35" s="32"/>
    </row>
    <row r="36" spans="1:24" x14ac:dyDescent="0.35">
      <c r="A36" s="8" t="s">
        <v>30</v>
      </c>
      <c r="B36" s="30">
        <f>SUM(B27:B35)</f>
        <v>3458</v>
      </c>
      <c r="C36" s="30">
        <f>SUM(C27:C35)</f>
        <v>1237</v>
      </c>
      <c r="D36" s="37">
        <f>C36/B36</f>
        <v>0.35772122614227875</v>
      </c>
      <c r="E36" s="30">
        <f>SUM(E27:E35)</f>
        <v>7167</v>
      </c>
      <c r="F36" s="30">
        <f>SUM(F27:F35)</f>
        <v>907</v>
      </c>
      <c r="G36" s="37">
        <f>F36/E36</f>
        <v>0.12655225338356355</v>
      </c>
      <c r="H36" s="30">
        <f>SUM(H27:H35)</f>
        <v>5024</v>
      </c>
      <c r="I36" s="30">
        <f>SUM(I27:I35)</f>
        <v>1555</v>
      </c>
      <c r="J36" s="37">
        <f t="shared" si="13"/>
        <v>0.30951433121019106</v>
      </c>
      <c r="K36" s="30">
        <f>SUM(K27:K35)</f>
        <v>9039</v>
      </c>
      <c r="L36" s="30">
        <f>SUM(L27:L35)</f>
        <v>1168</v>
      </c>
      <c r="M36" s="37">
        <f t="shared" si="14"/>
        <v>0.12921783383117602</v>
      </c>
      <c r="N36" s="30">
        <f>SUM(N27:N35)</f>
        <v>18068</v>
      </c>
      <c r="O36" s="30">
        <f>SUM(O27:O35)</f>
        <v>9521</v>
      </c>
      <c r="P36" s="37">
        <f t="shared" si="16"/>
        <v>0.52695373035200355</v>
      </c>
      <c r="Q36" s="32"/>
      <c r="R36" s="32"/>
      <c r="S36" s="32"/>
      <c r="T36" s="32"/>
      <c r="U36" s="32"/>
      <c r="V36" s="32"/>
      <c r="W36" s="32"/>
      <c r="X36" s="32"/>
    </row>
    <row r="37" spans="1:24" ht="17" hidden="1" customHeight="1" x14ac:dyDescent="0.35">
      <c r="B37" s="20"/>
      <c r="C37" s="15">
        <v>394</v>
      </c>
      <c r="D37" s="20"/>
      <c r="E37" s="20"/>
      <c r="F37" s="15">
        <v>172</v>
      </c>
      <c r="G37" s="20"/>
      <c r="H37" s="20"/>
      <c r="I37" s="15">
        <v>434</v>
      </c>
      <c r="J37" s="20"/>
      <c r="K37" s="20"/>
      <c r="L37" s="15">
        <v>296</v>
      </c>
      <c r="M37" s="20"/>
      <c r="N37" s="20"/>
      <c r="O37" s="15">
        <v>1941</v>
      </c>
      <c r="P37" s="20"/>
      <c r="Q37" s="32"/>
      <c r="R37" s="32"/>
      <c r="S37" s="32"/>
      <c r="T37" s="32"/>
      <c r="U37" s="32"/>
      <c r="V37" s="32"/>
      <c r="W37" s="32"/>
      <c r="X37" s="32"/>
    </row>
    <row r="38" spans="1:24" ht="15" hidden="1" customHeight="1" x14ac:dyDescent="0.35">
      <c r="B38" s="20"/>
      <c r="C38" s="49">
        <v>36</v>
      </c>
      <c r="D38" s="20"/>
      <c r="E38" s="20"/>
      <c r="F38" s="49">
        <v>12</v>
      </c>
      <c r="G38" s="20"/>
      <c r="H38" s="20"/>
      <c r="I38" s="49">
        <v>12</v>
      </c>
      <c r="J38" s="20"/>
      <c r="K38" s="20"/>
      <c r="L38" s="49">
        <v>13</v>
      </c>
      <c r="M38" s="20"/>
      <c r="N38" s="20"/>
      <c r="O38" s="49">
        <v>5</v>
      </c>
      <c r="P38" s="20"/>
      <c r="Q38" s="32"/>
      <c r="R38" s="32"/>
      <c r="S38" s="32"/>
      <c r="T38" s="32"/>
      <c r="U38" s="32"/>
      <c r="V38" s="32"/>
      <c r="W38" s="32"/>
      <c r="X38" s="32"/>
    </row>
    <row r="39" spans="1:24" x14ac:dyDescent="0.35">
      <c r="A39" s="78" t="s">
        <v>38</v>
      </c>
      <c r="B39" s="78"/>
      <c r="C39" s="78"/>
      <c r="D39" s="78"/>
      <c r="E39" s="78"/>
      <c r="F39" s="78"/>
      <c r="G39" s="78"/>
      <c r="H39" s="78"/>
      <c r="I39" s="78"/>
      <c r="J39" s="78"/>
      <c r="K39" s="25"/>
      <c r="L39" s="25"/>
      <c r="M39" s="25"/>
      <c r="N39" s="25"/>
      <c r="O39" s="25"/>
      <c r="P39" s="25"/>
      <c r="Q39" s="32"/>
      <c r="R39" s="32"/>
      <c r="S39" s="32"/>
      <c r="T39" s="32"/>
      <c r="U39" s="32"/>
      <c r="V39" s="32"/>
      <c r="W39" s="32"/>
      <c r="X39" s="32"/>
    </row>
    <row r="40" spans="1:24" x14ac:dyDescent="0.35">
      <c r="A40" s="78" t="s">
        <v>45</v>
      </c>
      <c r="B40" s="78"/>
      <c r="C40" s="78"/>
      <c r="D40" s="78"/>
      <c r="E40" s="78"/>
      <c r="F40" s="78"/>
      <c r="G40" s="78"/>
      <c r="H40" s="78"/>
      <c r="I40" s="78"/>
      <c r="J40" s="78"/>
      <c r="K40" s="25"/>
      <c r="L40" s="25"/>
      <c r="M40" s="25"/>
      <c r="N40" s="25"/>
      <c r="O40" s="25"/>
      <c r="P40" s="25"/>
      <c r="Q40" s="32"/>
      <c r="R40" s="32"/>
      <c r="S40" s="32"/>
      <c r="T40" s="32"/>
      <c r="U40" s="32"/>
      <c r="V40" s="32"/>
      <c r="W40" s="32"/>
      <c r="X40" s="32"/>
    </row>
    <row r="41" spans="1:24" x14ac:dyDescent="0.35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32"/>
      <c r="R41" s="32"/>
      <c r="S41" s="32"/>
      <c r="T41" s="32"/>
      <c r="U41" s="32"/>
      <c r="V41" s="32"/>
      <c r="W41" s="32"/>
      <c r="X41" s="32"/>
    </row>
    <row r="42" spans="1:24" x14ac:dyDescent="0.35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32"/>
      <c r="R42" s="32"/>
      <c r="S42" s="32"/>
      <c r="T42" s="32"/>
      <c r="U42" s="32"/>
      <c r="V42" s="32"/>
      <c r="W42" s="32"/>
      <c r="X42" s="32"/>
    </row>
    <row r="43" spans="1:24" x14ac:dyDescent="0.3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32"/>
      <c r="R43" s="32"/>
      <c r="S43" s="32"/>
      <c r="T43" s="32"/>
      <c r="U43" s="32"/>
      <c r="V43" s="32"/>
      <c r="W43" s="32"/>
      <c r="X43" s="32"/>
    </row>
    <row r="44" spans="1:24" x14ac:dyDescent="0.35">
      <c r="Q44" s="32"/>
      <c r="R44" s="32"/>
      <c r="S44" s="32"/>
      <c r="T44" s="32"/>
      <c r="U44" s="32"/>
      <c r="V44" s="32"/>
      <c r="W44" s="32"/>
      <c r="X44" s="32"/>
    </row>
  </sheetData>
  <mergeCells count="37">
    <mergeCell ref="A39:J39"/>
    <mergeCell ref="A40:J40"/>
    <mergeCell ref="C25:D25"/>
    <mergeCell ref="E25:E26"/>
    <mergeCell ref="F25:G25"/>
    <mergeCell ref="H25:H26"/>
    <mergeCell ref="I25:J25"/>
    <mergeCell ref="T8:U8"/>
    <mergeCell ref="L25:M25"/>
    <mergeCell ref="N25:N26"/>
    <mergeCell ref="O25:P25"/>
    <mergeCell ref="K25:K26"/>
    <mergeCell ref="B25:B26"/>
    <mergeCell ref="K8:K9"/>
    <mergeCell ref="L8:M8"/>
    <mergeCell ref="N8:Q8"/>
    <mergeCell ref="R8:S8"/>
    <mergeCell ref="A21:J21"/>
    <mergeCell ref="A22:J22"/>
    <mergeCell ref="A24:A26"/>
    <mergeCell ref="B24:D24"/>
    <mergeCell ref="E24:J24"/>
    <mergeCell ref="E1:Z6"/>
    <mergeCell ref="A7:A9"/>
    <mergeCell ref="B7:J7"/>
    <mergeCell ref="K7:Q7"/>
    <mergeCell ref="V7:Z7"/>
    <mergeCell ref="B8:B9"/>
    <mergeCell ref="C8:D8"/>
    <mergeCell ref="E8:F8"/>
    <mergeCell ref="G8:H8"/>
    <mergeCell ref="I8:J8"/>
    <mergeCell ref="W8:X8"/>
    <mergeCell ref="Y8:Z8"/>
    <mergeCell ref="V8:V9"/>
    <mergeCell ref="K24:P24"/>
    <mergeCell ref="R24:T25"/>
  </mergeCells>
  <conditionalFormatting sqref="B3">
    <cfRule type="iconSet" priority="1">
      <iconSet>
        <cfvo type="percent" val="0"/>
        <cfvo type="num" val="0.1333"/>
        <cfvo type="num" val="0.1583"/>
      </iconSet>
    </cfRule>
  </conditionalFormatting>
  <conditionalFormatting sqref="B4">
    <cfRule type="iconSet" priority="3">
      <iconSet>
        <cfvo type="percent" val="0"/>
        <cfvo type="num" val="0.1333"/>
        <cfvo type="num" val="0.1583"/>
      </iconSet>
    </cfRule>
  </conditionalFormatting>
  <conditionalFormatting sqref="C6 B3:B5">
    <cfRule type="iconSet" priority="2">
      <iconSet>
        <cfvo type="percent" val="0"/>
        <cfvo type="num" val="0.1333"/>
        <cfvo type="num" val="0.158"/>
      </iconSet>
    </cfRule>
  </conditionalFormatting>
  <conditionalFormatting sqref="C6 B5">
    <cfRule type="iconSet" priority="4">
      <iconSet>
        <cfvo type="percent" val="0"/>
        <cfvo type="num" val="0.1333"/>
        <cfvo type="num" val="0.1583"/>
      </iconSet>
    </cfRule>
  </conditionalFormatting>
  <conditionalFormatting sqref="D10:D18">
    <cfRule type="iconSet" priority="29">
      <iconSet>
        <cfvo type="percent" val="0"/>
        <cfvo type="num" val="0.33"/>
        <cfvo type="num" val="0.41499999999999998"/>
      </iconSet>
    </cfRule>
  </conditionalFormatting>
  <conditionalFormatting sqref="D27:D33">
    <cfRule type="iconSet" priority="18">
      <iconSet>
        <cfvo type="percent" val="0"/>
        <cfvo type="num" val="0.33"/>
        <cfvo type="num" val="0.41499999999999998"/>
      </iconSet>
    </cfRule>
  </conditionalFormatting>
  <conditionalFormatting sqref="D35:D36">
    <cfRule type="iconSet" priority="17">
      <iconSet>
        <cfvo type="percent" val="0"/>
        <cfvo type="num" val="0.33"/>
        <cfvo type="num" val="0.41499999999999998"/>
      </iconSet>
    </cfRule>
  </conditionalFormatting>
  <conditionalFormatting sqref="F10:F18">
    <cfRule type="iconSet" priority="28">
      <iconSet>
        <cfvo type="percent" val="0"/>
        <cfvo type="num" val="0.33"/>
        <cfvo type="num" val="0.41499999999999998"/>
      </iconSet>
    </cfRule>
  </conditionalFormatting>
  <conditionalFormatting sqref="G27:G33">
    <cfRule type="iconSet" priority="16">
      <iconSet>
        <cfvo type="percent" val="0"/>
        <cfvo type="num" val="0.33"/>
        <cfvo type="num" val="0.41499999999999998"/>
      </iconSet>
    </cfRule>
  </conditionalFormatting>
  <conditionalFormatting sqref="G35:G36">
    <cfRule type="iconSet" priority="12">
      <iconSet>
        <cfvo type="percent" val="0"/>
        <cfvo type="num" val="0.33"/>
        <cfvo type="num" val="0.41499999999999998"/>
      </iconSet>
    </cfRule>
  </conditionalFormatting>
  <conditionalFormatting sqref="H10:H18">
    <cfRule type="iconSet" priority="27">
      <iconSet>
        <cfvo type="percent" val="0"/>
        <cfvo type="num" val="0.33"/>
        <cfvo type="num" val="0.41499999999999998"/>
      </iconSet>
    </cfRule>
  </conditionalFormatting>
  <conditionalFormatting sqref="J10:J18">
    <cfRule type="iconSet" priority="26">
      <iconSet>
        <cfvo type="percent" val="0"/>
        <cfvo type="num" val="0.33"/>
        <cfvo type="num" val="0.41499999999999998"/>
      </iconSet>
    </cfRule>
  </conditionalFormatting>
  <conditionalFormatting sqref="J27:J33">
    <cfRule type="iconSet" priority="15">
      <iconSet>
        <cfvo type="percent" val="0"/>
        <cfvo type="num" val="0.33"/>
        <cfvo type="num" val="0.41499999999999998"/>
      </iconSet>
    </cfRule>
  </conditionalFormatting>
  <conditionalFormatting sqref="J35:J36">
    <cfRule type="iconSet" priority="11">
      <iconSet>
        <cfvo type="percent" val="0"/>
        <cfvo type="num" val="0.33"/>
        <cfvo type="num" val="0.41499999999999998"/>
      </iconSet>
    </cfRule>
  </conditionalFormatting>
  <conditionalFormatting sqref="M10:M18">
    <cfRule type="iconSet" priority="25">
      <iconSet>
        <cfvo type="percent" val="0"/>
        <cfvo type="num" val="0.33"/>
        <cfvo type="num" val="0.41499999999999998"/>
      </iconSet>
    </cfRule>
  </conditionalFormatting>
  <conditionalFormatting sqref="M27:M33">
    <cfRule type="iconSet" priority="14">
      <iconSet>
        <cfvo type="percent" val="0"/>
        <cfvo type="num" val="0.33"/>
        <cfvo type="num" val="0.41499999999999998"/>
      </iconSet>
    </cfRule>
  </conditionalFormatting>
  <conditionalFormatting sqref="M35:M36">
    <cfRule type="iconSet" priority="10">
      <iconSet>
        <cfvo type="percent" val="0"/>
        <cfvo type="num" val="0.33"/>
        <cfvo type="num" val="0.41499999999999998"/>
      </iconSet>
    </cfRule>
  </conditionalFormatting>
  <conditionalFormatting sqref="O10:O18">
    <cfRule type="iconSet" priority="24">
      <iconSet>
        <cfvo type="percent" val="0"/>
        <cfvo type="num" val="0.33"/>
        <cfvo type="num" val="0.41499999999999998"/>
      </iconSet>
    </cfRule>
  </conditionalFormatting>
  <conditionalFormatting sqref="P27:P33">
    <cfRule type="iconSet" priority="13">
      <iconSet>
        <cfvo type="percent" val="0"/>
        <cfvo type="num" val="0.33"/>
        <cfvo type="num" val="0.41499999999999998"/>
      </iconSet>
    </cfRule>
  </conditionalFormatting>
  <conditionalFormatting sqref="P35:P36">
    <cfRule type="iconSet" priority="9">
      <iconSet>
        <cfvo type="percent" val="0"/>
        <cfvo type="num" val="0.33"/>
        <cfvo type="num" val="0.41499999999999998"/>
      </iconSet>
    </cfRule>
  </conditionalFormatting>
  <conditionalFormatting sqref="Q10:Q18">
    <cfRule type="iconSet" priority="23">
      <iconSet>
        <cfvo type="percent" val="0"/>
        <cfvo type="num" val="0.33"/>
        <cfvo type="num" val="0.41499999999999998"/>
      </iconSet>
    </cfRule>
  </conditionalFormatting>
  <conditionalFormatting sqref="S10:S18">
    <cfRule type="iconSet" priority="22">
      <iconSet>
        <cfvo type="percent" val="0"/>
        <cfvo type="num" val="0.33"/>
        <cfvo type="num" val="0.41499999999999998"/>
      </iconSet>
    </cfRule>
  </conditionalFormatting>
  <conditionalFormatting sqref="S27">
    <cfRule type="iconSet" priority="5">
      <iconSet>
        <cfvo type="percent" val="0"/>
        <cfvo type="num" val="0.1333"/>
        <cfvo type="num" val="0.1583"/>
      </iconSet>
    </cfRule>
  </conditionalFormatting>
  <conditionalFormatting sqref="S27:S29">
    <cfRule type="iconSet" priority="6">
      <iconSet>
        <cfvo type="percent" val="0"/>
        <cfvo type="num" val="0.1333"/>
        <cfvo type="num" val="0.158"/>
      </iconSet>
    </cfRule>
  </conditionalFormatting>
  <conditionalFormatting sqref="S28">
    <cfRule type="iconSet" priority="7">
      <iconSet>
        <cfvo type="percent" val="0"/>
        <cfvo type="num" val="0.1333"/>
        <cfvo type="num" val="0.1583"/>
      </iconSet>
    </cfRule>
  </conditionalFormatting>
  <conditionalFormatting sqref="S29">
    <cfRule type="iconSet" priority="8">
      <iconSet>
        <cfvo type="percent" val="0"/>
        <cfvo type="num" val="0.1333"/>
        <cfvo type="num" val="0.1583"/>
      </iconSet>
    </cfRule>
  </conditionalFormatting>
  <conditionalFormatting sqref="U10:U18">
    <cfRule type="iconSet" priority="21">
      <iconSet>
        <cfvo type="percent" val="0"/>
        <cfvo type="num" val="0.33"/>
        <cfvo type="num" val="0.41499999999999998"/>
      </iconSet>
    </cfRule>
  </conditionalFormatting>
  <conditionalFormatting sqref="X10:X18">
    <cfRule type="iconSet" priority="20">
      <iconSet>
        <cfvo type="percent" val="0"/>
        <cfvo type="num" val="0.33"/>
        <cfvo type="num" val="0.41499999999999998"/>
      </iconSet>
    </cfRule>
  </conditionalFormatting>
  <conditionalFormatting sqref="Z10:Z18">
    <cfRule type="iconSet" priority="19">
      <iconSet>
        <cfvo type="percent" val="0"/>
        <cfvo type="num" val="0.33"/>
        <cfvo type="num" val="0.41499999999999998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A8F8-EEC6-4D67-825E-CE98ECA52FE7}">
  <dimension ref="A1:Z44"/>
  <sheetViews>
    <sheetView zoomScale="90" zoomScaleNormal="90" workbookViewId="0">
      <selection activeCell="A24" sqref="A24:U40"/>
    </sheetView>
  </sheetViews>
  <sheetFormatPr baseColWidth="10" defaultRowHeight="14.5" x14ac:dyDescent="0.35"/>
  <cols>
    <col min="1" max="1" width="15.81640625" customWidth="1"/>
    <col min="2" max="2" width="6.1796875" style="31" customWidth="1"/>
    <col min="3" max="3" width="6.1796875" customWidth="1"/>
    <col min="4" max="4" width="7.08984375" customWidth="1"/>
    <col min="5" max="5" width="6.1796875" customWidth="1"/>
    <col min="6" max="6" width="6.7265625" customWidth="1"/>
    <col min="7" max="7" width="6.1796875" customWidth="1"/>
    <col min="8" max="8" width="7.1796875" customWidth="1"/>
    <col min="9" max="9" width="6.81640625" customWidth="1"/>
    <col min="10" max="10" width="7.08984375" customWidth="1"/>
    <col min="11" max="11" width="5.7265625" customWidth="1"/>
    <col min="12" max="12" width="6.81640625" customWidth="1"/>
    <col min="13" max="13" width="7.6328125" customWidth="1"/>
    <col min="14" max="14" width="6.36328125" customWidth="1"/>
    <col min="15" max="15" width="7.26953125" customWidth="1"/>
    <col min="16" max="16" width="6.54296875" customWidth="1"/>
    <col min="17" max="17" width="8.90625" customWidth="1"/>
    <col min="18" max="18" width="7.81640625" customWidth="1"/>
    <col min="19" max="19" width="6.54296875" customWidth="1"/>
    <col min="20" max="20" width="6.08984375" customWidth="1"/>
    <col min="21" max="21" width="7.26953125" customWidth="1"/>
    <col min="22" max="22" width="5.90625" customWidth="1"/>
    <col min="23" max="23" width="6.81640625" customWidth="1"/>
    <col min="24" max="24" width="6.6328125" customWidth="1"/>
    <col min="25" max="25" width="6.08984375" customWidth="1"/>
    <col min="26" max="26" width="7.36328125" customWidth="1"/>
  </cols>
  <sheetData>
    <row r="1" spans="1:26" s="32" customFormat="1" ht="22" customHeight="1" x14ac:dyDescent="0.35">
      <c r="A1" s="45" t="s">
        <v>43</v>
      </c>
      <c r="B1" s="46"/>
      <c r="C1" s="45"/>
      <c r="D1" s="45"/>
      <c r="E1" s="94" t="s">
        <v>37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s="32" customFormat="1" ht="5.5" customHeight="1" x14ac:dyDescent="0.35">
      <c r="A2" s="45"/>
      <c r="B2" s="46"/>
      <c r="C2" s="45"/>
      <c r="D2" s="45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14.5" customHeight="1" x14ac:dyDescent="0.35">
      <c r="A3" s="38"/>
      <c r="B3" s="39" t="s">
        <v>40</v>
      </c>
      <c r="D3" s="32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14.5" customHeight="1" x14ac:dyDescent="0.4">
      <c r="A4" s="40"/>
      <c r="B4" s="41" t="s">
        <v>41</v>
      </c>
      <c r="C4" s="32"/>
      <c r="D4" s="32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14.5" customHeight="1" x14ac:dyDescent="0.4">
      <c r="A5" s="42"/>
      <c r="B5" s="41" t="s">
        <v>42</v>
      </c>
      <c r="D5" s="32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s="32" customFormat="1" ht="9" customHeight="1" x14ac:dyDescent="0.4">
      <c r="A6" s="43"/>
      <c r="B6" s="44"/>
      <c r="C6" s="41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4.5" customHeight="1" x14ac:dyDescent="0.35">
      <c r="A7" s="86" t="s">
        <v>36</v>
      </c>
      <c r="B7" s="57" t="s">
        <v>0</v>
      </c>
      <c r="C7" s="93"/>
      <c r="D7" s="93"/>
      <c r="E7" s="93"/>
      <c r="F7" s="93"/>
      <c r="G7" s="93"/>
      <c r="H7" s="93"/>
      <c r="I7" s="93"/>
      <c r="J7" s="58"/>
      <c r="K7" s="59" t="s">
        <v>1</v>
      </c>
      <c r="L7" s="73"/>
      <c r="M7" s="73"/>
      <c r="N7" s="73"/>
      <c r="O7" s="73"/>
      <c r="P7" s="73"/>
      <c r="Q7" s="73"/>
      <c r="R7" s="51"/>
      <c r="S7" s="51"/>
      <c r="T7" s="51"/>
      <c r="U7" s="52"/>
      <c r="V7" s="70" t="s">
        <v>2</v>
      </c>
      <c r="W7" s="72"/>
      <c r="X7" s="72"/>
      <c r="Y7" s="72"/>
      <c r="Z7" s="71"/>
    </row>
    <row r="8" spans="1:26" x14ac:dyDescent="0.35">
      <c r="A8" s="87"/>
      <c r="B8" s="89" t="s">
        <v>22</v>
      </c>
      <c r="C8" s="57" t="s">
        <v>7</v>
      </c>
      <c r="D8" s="58"/>
      <c r="E8" s="57" t="s">
        <v>8</v>
      </c>
      <c r="F8" s="58"/>
      <c r="G8" s="57" t="s">
        <v>9</v>
      </c>
      <c r="H8" s="58"/>
      <c r="I8" s="57" t="s">
        <v>10</v>
      </c>
      <c r="J8" s="58"/>
      <c r="K8" s="91" t="s">
        <v>22</v>
      </c>
      <c r="L8" s="59" t="s">
        <v>11</v>
      </c>
      <c r="M8" s="60"/>
      <c r="N8" s="59" t="s">
        <v>12</v>
      </c>
      <c r="O8" s="73"/>
      <c r="P8" s="73"/>
      <c r="Q8" s="60"/>
      <c r="R8" s="59" t="s">
        <v>13</v>
      </c>
      <c r="S8" s="60"/>
      <c r="T8" s="59" t="s">
        <v>7</v>
      </c>
      <c r="U8" s="60"/>
      <c r="V8" s="81" t="s">
        <v>22</v>
      </c>
      <c r="W8" s="70" t="s">
        <v>13</v>
      </c>
      <c r="X8" s="71"/>
      <c r="Y8" s="70" t="s">
        <v>14</v>
      </c>
      <c r="Z8" s="71"/>
    </row>
    <row r="9" spans="1:26" ht="27.5" customHeight="1" x14ac:dyDescent="0.35">
      <c r="A9" s="88"/>
      <c r="B9" s="90"/>
      <c r="C9" s="2" t="s">
        <v>16</v>
      </c>
      <c r="D9" s="2" t="s">
        <v>33</v>
      </c>
      <c r="E9" s="2" t="s">
        <v>17</v>
      </c>
      <c r="F9" s="2" t="s">
        <v>33</v>
      </c>
      <c r="G9" s="2" t="s">
        <v>16</v>
      </c>
      <c r="H9" s="2" t="s">
        <v>33</v>
      </c>
      <c r="I9" s="2" t="s">
        <v>17</v>
      </c>
      <c r="J9" s="2" t="s">
        <v>33</v>
      </c>
      <c r="K9" s="92"/>
      <c r="L9" s="1" t="s">
        <v>16</v>
      </c>
      <c r="M9" s="1" t="s">
        <v>33</v>
      </c>
      <c r="N9" s="1" t="s">
        <v>18</v>
      </c>
      <c r="O9" s="1" t="s">
        <v>33</v>
      </c>
      <c r="P9" s="1" t="s">
        <v>17</v>
      </c>
      <c r="Q9" s="1" t="s">
        <v>33</v>
      </c>
      <c r="R9" s="1" t="s">
        <v>20</v>
      </c>
      <c r="S9" s="1" t="s">
        <v>33</v>
      </c>
      <c r="T9" s="1" t="s">
        <v>20</v>
      </c>
      <c r="U9" s="1" t="s">
        <v>33</v>
      </c>
      <c r="V9" s="82"/>
      <c r="W9" s="3" t="s">
        <v>21</v>
      </c>
      <c r="X9" s="3" t="s">
        <v>33</v>
      </c>
      <c r="Y9" s="3" t="s">
        <v>21</v>
      </c>
      <c r="Z9" s="3" t="s">
        <v>33</v>
      </c>
    </row>
    <row r="10" spans="1:26" x14ac:dyDescent="0.35">
      <c r="A10" s="7" t="s">
        <v>23</v>
      </c>
      <c r="B10" s="9">
        <v>442</v>
      </c>
      <c r="C10" s="26">
        <v>116</v>
      </c>
      <c r="D10" s="37">
        <f>C10/B10</f>
        <v>0.26244343891402716</v>
      </c>
      <c r="E10" s="26">
        <v>118</v>
      </c>
      <c r="F10" s="37">
        <f>E10/B10</f>
        <v>0.2669683257918552</v>
      </c>
      <c r="G10" s="26">
        <v>116</v>
      </c>
      <c r="H10" s="37">
        <f>G10/B10</f>
        <v>0.26244343891402716</v>
      </c>
      <c r="I10" s="26">
        <v>120</v>
      </c>
      <c r="J10" s="37">
        <f>I10/B10</f>
        <v>0.27149321266968324</v>
      </c>
      <c r="K10" s="26">
        <v>595</v>
      </c>
      <c r="L10" s="27">
        <v>148</v>
      </c>
      <c r="M10" s="37">
        <f>L10/K10</f>
        <v>0.24873949579831933</v>
      </c>
      <c r="N10" s="27">
        <v>148</v>
      </c>
      <c r="O10" s="37">
        <f>N10/K10</f>
        <v>0.24873949579831933</v>
      </c>
      <c r="P10" s="26">
        <v>145</v>
      </c>
      <c r="Q10" s="37">
        <f>P10/K10</f>
        <v>0.24369747899159663</v>
      </c>
      <c r="R10" s="26">
        <v>111</v>
      </c>
      <c r="S10" s="37">
        <f t="shared" ref="S10:S18" si="0">R10/K10</f>
        <v>0.1865546218487395</v>
      </c>
      <c r="T10" s="26">
        <v>154</v>
      </c>
      <c r="U10" s="37">
        <f>T10/K10</f>
        <v>0.25882352941176473</v>
      </c>
      <c r="V10" s="26">
        <v>734</v>
      </c>
      <c r="W10" s="26">
        <v>200</v>
      </c>
      <c r="X10" s="37">
        <f>W10/V10</f>
        <v>0.27247956403269757</v>
      </c>
      <c r="Y10" s="26">
        <v>194</v>
      </c>
      <c r="Z10" s="37">
        <f>Y10/V10</f>
        <v>0.26430517711171664</v>
      </c>
    </row>
    <row r="11" spans="1:26" x14ac:dyDescent="0.35">
      <c r="A11" s="7" t="s">
        <v>24</v>
      </c>
      <c r="B11" s="9">
        <v>635</v>
      </c>
      <c r="C11" s="27">
        <v>189</v>
      </c>
      <c r="D11" s="37">
        <f t="shared" ref="D11:D18" si="1">C11/B11</f>
        <v>0.29763779527559053</v>
      </c>
      <c r="E11" s="27">
        <v>187</v>
      </c>
      <c r="F11" s="37">
        <f t="shared" ref="F11:F18" si="2">E11/B11</f>
        <v>0.29448818897637796</v>
      </c>
      <c r="G11" s="27">
        <v>189</v>
      </c>
      <c r="H11" s="37">
        <f t="shared" ref="H11:H18" si="3">G11/B11</f>
        <v>0.29763779527559053</v>
      </c>
      <c r="I11" s="27">
        <v>185</v>
      </c>
      <c r="J11" s="37">
        <f t="shared" ref="J11:J18" si="4">I11/B11</f>
        <v>0.29133858267716534</v>
      </c>
      <c r="K11" s="26">
        <v>711</v>
      </c>
      <c r="L11" s="27">
        <v>205</v>
      </c>
      <c r="M11" s="37">
        <f t="shared" ref="M11:M18" si="5">L11/K11</f>
        <v>0.28832630098452883</v>
      </c>
      <c r="N11" s="27">
        <v>212</v>
      </c>
      <c r="O11" s="37">
        <f t="shared" ref="O11:O18" si="6">N11/K11</f>
        <v>0.29817158931082982</v>
      </c>
      <c r="P11" s="26">
        <v>165</v>
      </c>
      <c r="Q11" s="37">
        <f t="shared" ref="Q11:Q18" si="7">P11/K11</f>
        <v>0.2320675105485232</v>
      </c>
      <c r="R11" s="26">
        <v>130</v>
      </c>
      <c r="S11" s="37">
        <f t="shared" si="0"/>
        <v>0.18284106891701829</v>
      </c>
      <c r="T11" s="26">
        <v>188</v>
      </c>
      <c r="U11" s="37">
        <f t="shared" ref="U11:U18" si="8">T11/K11</f>
        <v>0.26441631504922647</v>
      </c>
      <c r="V11" s="26">
        <v>806</v>
      </c>
      <c r="W11" s="26">
        <v>224</v>
      </c>
      <c r="X11" s="37">
        <f t="shared" ref="X11:X18" si="9">W11/V11</f>
        <v>0.27791563275434245</v>
      </c>
      <c r="Y11" s="26">
        <v>219</v>
      </c>
      <c r="Z11" s="37">
        <f t="shared" ref="Z11:Z18" si="10">Y11/V11</f>
        <v>0.27171215880893301</v>
      </c>
    </row>
    <row r="12" spans="1:26" x14ac:dyDescent="0.35">
      <c r="A12" s="7" t="s">
        <v>25</v>
      </c>
      <c r="B12" s="9">
        <v>130</v>
      </c>
      <c r="C12" s="27">
        <v>38</v>
      </c>
      <c r="D12" s="37">
        <f t="shared" si="1"/>
        <v>0.29230769230769232</v>
      </c>
      <c r="E12" s="27">
        <v>33</v>
      </c>
      <c r="F12" s="37">
        <f t="shared" si="2"/>
        <v>0.25384615384615383</v>
      </c>
      <c r="G12" s="27">
        <v>38</v>
      </c>
      <c r="H12" s="37">
        <f t="shared" si="3"/>
        <v>0.29230769230769232</v>
      </c>
      <c r="I12" s="27">
        <v>34</v>
      </c>
      <c r="J12" s="37">
        <f t="shared" si="4"/>
        <v>0.26153846153846155</v>
      </c>
      <c r="K12" s="26">
        <v>161</v>
      </c>
      <c r="L12" s="27">
        <v>46</v>
      </c>
      <c r="M12" s="37">
        <f t="shared" si="5"/>
        <v>0.2857142857142857</v>
      </c>
      <c r="N12" s="27">
        <v>47</v>
      </c>
      <c r="O12" s="37">
        <f t="shared" si="6"/>
        <v>0.29192546583850931</v>
      </c>
      <c r="P12" s="26">
        <v>45</v>
      </c>
      <c r="Q12" s="37">
        <f t="shared" si="7"/>
        <v>0.27950310559006208</v>
      </c>
      <c r="R12" s="26">
        <v>29</v>
      </c>
      <c r="S12" s="37">
        <f t="shared" si="0"/>
        <v>0.18012422360248448</v>
      </c>
      <c r="T12" s="26">
        <v>46</v>
      </c>
      <c r="U12" s="37">
        <f t="shared" si="8"/>
        <v>0.2857142857142857</v>
      </c>
      <c r="V12" s="26">
        <v>221</v>
      </c>
      <c r="W12" s="26">
        <v>71</v>
      </c>
      <c r="X12" s="37">
        <f t="shared" si="9"/>
        <v>0.32126696832579188</v>
      </c>
      <c r="Y12" s="26">
        <v>70</v>
      </c>
      <c r="Z12" s="37">
        <f t="shared" si="10"/>
        <v>0.31674208144796379</v>
      </c>
    </row>
    <row r="13" spans="1:26" x14ac:dyDescent="0.35">
      <c r="A13" s="7" t="s">
        <v>26</v>
      </c>
      <c r="B13" s="9">
        <v>402</v>
      </c>
      <c r="C13" s="27">
        <v>144</v>
      </c>
      <c r="D13" s="37">
        <f t="shared" si="1"/>
        <v>0.35820895522388058</v>
      </c>
      <c r="E13" s="27">
        <v>129</v>
      </c>
      <c r="F13" s="37">
        <f t="shared" si="2"/>
        <v>0.32089552238805968</v>
      </c>
      <c r="G13" s="27">
        <v>145</v>
      </c>
      <c r="H13" s="37">
        <f t="shared" si="3"/>
        <v>0.36069651741293535</v>
      </c>
      <c r="I13" s="27">
        <v>129</v>
      </c>
      <c r="J13" s="37">
        <f t="shared" si="4"/>
        <v>0.32089552238805968</v>
      </c>
      <c r="K13" s="26">
        <v>489</v>
      </c>
      <c r="L13" s="27">
        <v>146</v>
      </c>
      <c r="M13" s="37">
        <f t="shared" si="5"/>
        <v>0.29856850715746419</v>
      </c>
      <c r="N13" s="27">
        <v>152</v>
      </c>
      <c r="O13" s="37">
        <f t="shared" si="6"/>
        <v>0.31083844580777098</v>
      </c>
      <c r="P13" s="26">
        <v>118</v>
      </c>
      <c r="Q13" s="37">
        <f t="shared" si="7"/>
        <v>0.24130879345603273</v>
      </c>
      <c r="R13" s="26">
        <v>94</v>
      </c>
      <c r="S13" s="37">
        <f t="shared" si="0"/>
        <v>0.19222903885480572</v>
      </c>
      <c r="T13" s="26">
        <v>116</v>
      </c>
      <c r="U13" s="37">
        <f t="shared" si="8"/>
        <v>0.23721881390593047</v>
      </c>
      <c r="V13" s="26">
        <v>676</v>
      </c>
      <c r="W13" s="26">
        <v>171</v>
      </c>
      <c r="X13" s="37">
        <f t="shared" si="9"/>
        <v>0.25295857988165682</v>
      </c>
      <c r="Y13" s="26">
        <v>174</v>
      </c>
      <c r="Z13" s="37">
        <f t="shared" si="10"/>
        <v>0.25739644970414199</v>
      </c>
    </row>
    <row r="14" spans="1:26" x14ac:dyDescent="0.35">
      <c r="A14" s="7" t="s">
        <v>28</v>
      </c>
      <c r="B14" s="9">
        <v>132</v>
      </c>
      <c r="C14" s="27">
        <v>61</v>
      </c>
      <c r="D14" s="37">
        <f t="shared" si="1"/>
        <v>0.4621212121212121</v>
      </c>
      <c r="E14" s="27">
        <v>56</v>
      </c>
      <c r="F14" s="37">
        <f t="shared" si="2"/>
        <v>0.42424242424242425</v>
      </c>
      <c r="G14" s="27">
        <v>61</v>
      </c>
      <c r="H14" s="37">
        <f t="shared" si="3"/>
        <v>0.4621212121212121</v>
      </c>
      <c r="I14" s="27">
        <v>56</v>
      </c>
      <c r="J14" s="37">
        <f t="shared" si="4"/>
        <v>0.42424242424242425</v>
      </c>
      <c r="K14" s="26">
        <v>167</v>
      </c>
      <c r="L14" s="27">
        <v>46</v>
      </c>
      <c r="M14" s="37">
        <f t="shared" si="5"/>
        <v>0.27544910179640719</v>
      </c>
      <c r="N14" s="27">
        <v>46</v>
      </c>
      <c r="O14" s="37">
        <f t="shared" si="6"/>
        <v>0.27544910179640719</v>
      </c>
      <c r="P14" s="26">
        <v>33</v>
      </c>
      <c r="Q14" s="37">
        <f t="shared" si="7"/>
        <v>0.19760479041916168</v>
      </c>
      <c r="R14" s="26">
        <v>18</v>
      </c>
      <c r="S14" s="37">
        <f t="shared" si="0"/>
        <v>0.10778443113772455</v>
      </c>
      <c r="T14" s="26">
        <v>36</v>
      </c>
      <c r="U14" s="37">
        <f t="shared" si="8"/>
        <v>0.21556886227544911</v>
      </c>
      <c r="V14" s="26">
        <v>255</v>
      </c>
      <c r="W14" s="26">
        <v>88</v>
      </c>
      <c r="X14" s="37">
        <f t="shared" si="9"/>
        <v>0.34509803921568627</v>
      </c>
      <c r="Y14" s="26">
        <v>87</v>
      </c>
      <c r="Z14" s="37">
        <f t="shared" si="10"/>
        <v>0.3411764705882353</v>
      </c>
    </row>
    <row r="15" spans="1:26" x14ac:dyDescent="0.35">
      <c r="A15" s="7" t="s">
        <v>29</v>
      </c>
      <c r="B15" s="9">
        <v>945</v>
      </c>
      <c r="C15" s="27">
        <v>311</v>
      </c>
      <c r="D15" s="37">
        <f t="shared" si="1"/>
        <v>0.32910052910052912</v>
      </c>
      <c r="E15" s="27">
        <v>322</v>
      </c>
      <c r="F15" s="37">
        <f t="shared" si="2"/>
        <v>0.34074074074074073</v>
      </c>
      <c r="G15" s="27">
        <v>312</v>
      </c>
      <c r="H15" s="37">
        <f t="shared" si="3"/>
        <v>0.33015873015873015</v>
      </c>
      <c r="I15" s="27">
        <v>328</v>
      </c>
      <c r="J15" s="37">
        <f t="shared" si="4"/>
        <v>0.34708994708994712</v>
      </c>
      <c r="K15" s="26">
        <v>1174</v>
      </c>
      <c r="L15" s="27">
        <v>352</v>
      </c>
      <c r="M15" s="37">
        <f t="shared" si="5"/>
        <v>0.29982964224872233</v>
      </c>
      <c r="N15" s="27">
        <v>356</v>
      </c>
      <c r="O15" s="37">
        <f t="shared" si="6"/>
        <v>0.30323679727427599</v>
      </c>
      <c r="P15" s="26">
        <v>308</v>
      </c>
      <c r="Q15" s="37">
        <f t="shared" si="7"/>
        <v>0.26235093696763201</v>
      </c>
      <c r="R15" s="26">
        <v>189</v>
      </c>
      <c r="S15" s="37">
        <f t="shared" si="0"/>
        <v>0.16098807495741055</v>
      </c>
      <c r="T15" s="26">
        <v>324</v>
      </c>
      <c r="U15" s="37">
        <f t="shared" si="8"/>
        <v>0.27597955706984667</v>
      </c>
      <c r="V15" s="26">
        <v>1562</v>
      </c>
      <c r="W15" s="26">
        <v>506</v>
      </c>
      <c r="X15" s="37">
        <f t="shared" si="9"/>
        <v>0.323943661971831</v>
      </c>
      <c r="Y15" s="26">
        <v>495</v>
      </c>
      <c r="Z15" s="37">
        <f t="shared" si="10"/>
        <v>0.31690140845070425</v>
      </c>
    </row>
    <row r="16" spans="1:26" x14ac:dyDescent="0.35">
      <c r="A16" s="7" t="s">
        <v>34</v>
      </c>
      <c r="B16" s="9">
        <v>321</v>
      </c>
      <c r="C16" s="27">
        <v>54</v>
      </c>
      <c r="D16" s="37">
        <f t="shared" si="1"/>
        <v>0.16822429906542055</v>
      </c>
      <c r="E16" s="27">
        <v>62</v>
      </c>
      <c r="F16" s="37">
        <f t="shared" si="2"/>
        <v>0.19314641744548286</v>
      </c>
      <c r="G16" s="27">
        <v>55</v>
      </c>
      <c r="H16" s="37">
        <f t="shared" si="3"/>
        <v>0.17133956386292834</v>
      </c>
      <c r="I16" s="27">
        <v>62</v>
      </c>
      <c r="J16" s="37">
        <f t="shared" si="4"/>
        <v>0.19314641744548286</v>
      </c>
      <c r="K16" s="26">
        <v>327</v>
      </c>
      <c r="L16" s="27">
        <v>65</v>
      </c>
      <c r="M16" s="37">
        <f t="shared" si="5"/>
        <v>0.19877675840978593</v>
      </c>
      <c r="N16" s="27">
        <v>66</v>
      </c>
      <c r="O16" s="37">
        <f t="shared" si="6"/>
        <v>0.20183486238532111</v>
      </c>
      <c r="P16" s="26">
        <v>34</v>
      </c>
      <c r="Q16" s="37">
        <f t="shared" si="7"/>
        <v>0.10397553516819572</v>
      </c>
      <c r="R16" s="26">
        <v>32</v>
      </c>
      <c r="S16" s="37">
        <f t="shared" si="0"/>
        <v>9.7859327217125383E-2</v>
      </c>
      <c r="T16" s="26">
        <v>47</v>
      </c>
      <c r="U16" s="37">
        <f t="shared" si="8"/>
        <v>0.14373088685015289</v>
      </c>
      <c r="V16" s="26">
        <v>436</v>
      </c>
      <c r="W16" s="26">
        <v>53</v>
      </c>
      <c r="X16" s="37">
        <f t="shared" si="9"/>
        <v>0.12155963302752294</v>
      </c>
      <c r="Y16" s="26">
        <v>55</v>
      </c>
      <c r="Z16" s="37">
        <f t="shared" si="10"/>
        <v>0.12614678899082568</v>
      </c>
    </row>
    <row r="17" spans="1:26" x14ac:dyDescent="0.35">
      <c r="A17" s="13" t="s">
        <v>27</v>
      </c>
      <c r="B17" s="29">
        <v>1222</v>
      </c>
      <c r="C17" s="27">
        <f>SUM(C19:C20)</f>
        <v>378</v>
      </c>
      <c r="D17" s="37">
        <f t="shared" si="1"/>
        <v>0.30932896890343697</v>
      </c>
      <c r="E17" s="27">
        <f>SUM(E19:E20)</f>
        <v>389</v>
      </c>
      <c r="F17" s="37">
        <f t="shared" si="2"/>
        <v>0.31833060556464809</v>
      </c>
      <c r="G17" s="27">
        <f>SUM(G19:G20)</f>
        <v>376</v>
      </c>
      <c r="H17" s="37">
        <f t="shared" si="3"/>
        <v>0.30769230769230771</v>
      </c>
      <c r="I17" s="27">
        <f>SUM(I19:I20)</f>
        <v>397</v>
      </c>
      <c r="J17" s="37">
        <f t="shared" si="4"/>
        <v>0.32487725040916532</v>
      </c>
      <c r="K17" s="27">
        <v>1482</v>
      </c>
      <c r="L17" s="27">
        <f>SUM(L19:L20)</f>
        <v>463</v>
      </c>
      <c r="M17" s="37">
        <f t="shared" si="5"/>
        <v>0.31241565452091768</v>
      </c>
      <c r="N17" s="27">
        <f>SUM(N19:N20)</f>
        <v>474</v>
      </c>
      <c r="O17" s="37">
        <f t="shared" si="6"/>
        <v>0.31983805668016196</v>
      </c>
      <c r="P17" s="27">
        <f>SUM(P19:P20)</f>
        <v>372</v>
      </c>
      <c r="Q17" s="37">
        <f t="shared" si="7"/>
        <v>0.25101214574898784</v>
      </c>
      <c r="R17" s="27">
        <f>SUM(R19:R20)</f>
        <v>269</v>
      </c>
      <c r="S17" s="37">
        <f t="shared" si="0"/>
        <v>0.18151147098515519</v>
      </c>
      <c r="T17" s="27">
        <f>SUM(T19:T20)</f>
        <v>428</v>
      </c>
      <c r="U17" s="37">
        <f t="shared" si="8"/>
        <v>0.28879892037786775</v>
      </c>
      <c r="V17" s="27">
        <v>2023</v>
      </c>
      <c r="W17" s="27">
        <f>SUM(W19:W20)</f>
        <v>614</v>
      </c>
      <c r="X17" s="37">
        <f t="shared" si="9"/>
        <v>0.30350963914977758</v>
      </c>
      <c r="Y17" s="27">
        <f>SUM(Y19:Y20)</f>
        <v>613</v>
      </c>
      <c r="Z17" s="37">
        <f t="shared" si="10"/>
        <v>0.30301532377656948</v>
      </c>
    </row>
    <row r="18" spans="1:26" ht="14" customHeight="1" x14ac:dyDescent="0.35">
      <c r="A18" s="8" t="s">
        <v>30</v>
      </c>
      <c r="B18" s="30">
        <f>SUM(B10:B17)</f>
        <v>4229</v>
      </c>
      <c r="C18" s="28">
        <f>SUM(C10:C17)</f>
        <v>1291</v>
      </c>
      <c r="D18" s="37">
        <f t="shared" si="1"/>
        <v>0.30527311421139747</v>
      </c>
      <c r="E18" s="28">
        <f>SUM(E10:E17)</f>
        <v>1296</v>
      </c>
      <c r="F18" s="37">
        <f t="shared" si="2"/>
        <v>0.30645542681484983</v>
      </c>
      <c r="G18" s="28">
        <f>SUM(G10:G17)</f>
        <v>1292</v>
      </c>
      <c r="H18" s="37">
        <f t="shared" si="3"/>
        <v>0.30550957673208795</v>
      </c>
      <c r="I18" s="28">
        <f>SUM(I10:I17)</f>
        <v>1311</v>
      </c>
      <c r="J18" s="37">
        <f t="shared" si="4"/>
        <v>0.31000236462520692</v>
      </c>
      <c r="K18" s="28">
        <f>SUM(K10:K17)</f>
        <v>5106</v>
      </c>
      <c r="L18" s="28">
        <f>SUM(L10:L17)</f>
        <v>1471</v>
      </c>
      <c r="M18" s="37">
        <f t="shared" si="5"/>
        <v>0.28809244026635333</v>
      </c>
      <c r="N18" s="28">
        <f>SUM(N10:N17)</f>
        <v>1501</v>
      </c>
      <c r="O18" s="37">
        <f t="shared" si="6"/>
        <v>0.29396788092440268</v>
      </c>
      <c r="P18" s="28">
        <f>SUM(P10:P17)</f>
        <v>1220</v>
      </c>
      <c r="Q18" s="37">
        <f t="shared" si="7"/>
        <v>0.23893458676067372</v>
      </c>
      <c r="R18" s="28">
        <f>SUM(R10:R17)</f>
        <v>872</v>
      </c>
      <c r="S18" s="37">
        <f t="shared" si="0"/>
        <v>0.17077947512730121</v>
      </c>
      <c r="T18" s="28">
        <f>SUM(T10:T17)</f>
        <v>1339</v>
      </c>
      <c r="U18" s="37">
        <f t="shared" si="8"/>
        <v>0.26224050137093613</v>
      </c>
      <c r="V18" s="28">
        <f>SUM(V10:V17)</f>
        <v>6713</v>
      </c>
      <c r="W18" s="28">
        <f>SUM(W10:W17)</f>
        <v>1927</v>
      </c>
      <c r="X18" s="37">
        <f t="shared" si="9"/>
        <v>0.2870549679725905</v>
      </c>
      <c r="Y18" s="28">
        <f>SUM(Y10:Y17)</f>
        <v>1907</v>
      </c>
      <c r="Z18" s="37">
        <f t="shared" si="10"/>
        <v>0.28407567406524653</v>
      </c>
    </row>
    <row r="19" spans="1:26" ht="18" hidden="1" customHeight="1" x14ac:dyDescent="0.35">
      <c r="A19" s="20"/>
      <c r="B19" s="22"/>
      <c r="C19" s="23">
        <v>346</v>
      </c>
      <c r="D19" s="20"/>
      <c r="E19" s="20">
        <v>362</v>
      </c>
      <c r="F19" s="20"/>
      <c r="G19" s="50">
        <v>344</v>
      </c>
      <c r="H19" s="20"/>
      <c r="I19" s="15">
        <v>370</v>
      </c>
      <c r="J19" s="20"/>
      <c r="K19" s="20"/>
      <c r="L19" s="15">
        <v>423</v>
      </c>
      <c r="M19" s="20"/>
      <c r="N19" s="15">
        <v>434</v>
      </c>
      <c r="O19" s="20"/>
      <c r="P19" s="15">
        <v>349</v>
      </c>
      <c r="Q19" s="20"/>
      <c r="R19" s="15">
        <v>247</v>
      </c>
      <c r="S19" s="20"/>
      <c r="T19" s="15">
        <v>397</v>
      </c>
      <c r="U19" s="20"/>
      <c r="V19" s="20"/>
      <c r="W19" s="15">
        <v>558</v>
      </c>
      <c r="X19" s="20"/>
      <c r="Y19" s="15">
        <v>557</v>
      </c>
      <c r="Z19" s="20"/>
    </row>
    <row r="20" spans="1:26" ht="18.5" hidden="1" customHeight="1" x14ac:dyDescent="0.35">
      <c r="A20" s="20"/>
      <c r="B20" s="22"/>
      <c r="C20" s="48">
        <v>32</v>
      </c>
      <c r="D20" s="20"/>
      <c r="E20" s="48">
        <v>27</v>
      </c>
      <c r="F20" s="20"/>
      <c r="G20" s="48">
        <v>32</v>
      </c>
      <c r="H20" s="20"/>
      <c r="I20" s="48">
        <v>27</v>
      </c>
      <c r="J20" s="20"/>
      <c r="K20" s="20"/>
      <c r="L20" s="48">
        <v>40</v>
      </c>
      <c r="M20" s="20"/>
      <c r="N20" s="48">
        <v>40</v>
      </c>
      <c r="O20" s="20"/>
      <c r="P20" s="48">
        <v>23</v>
      </c>
      <c r="Q20" s="20"/>
      <c r="R20" s="48">
        <v>22</v>
      </c>
      <c r="S20" s="20"/>
      <c r="T20" s="48">
        <v>31</v>
      </c>
      <c r="U20" s="20"/>
      <c r="V20" s="20"/>
      <c r="W20" s="48">
        <v>56</v>
      </c>
      <c r="X20" s="20"/>
      <c r="Y20" s="48">
        <v>56</v>
      </c>
      <c r="Z20" s="20"/>
    </row>
    <row r="21" spans="1:26" x14ac:dyDescent="0.35">
      <c r="A21" s="78" t="s">
        <v>38</v>
      </c>
      <c r="B21" s="78"/>
      <c r="C21" s="78"/>
      <c r="D21" s="78"/>
      <c r="E21" s="78"/>
      <c r="F21" s="78"/>
      <c r="G21" s="78"/>
      <c r="H21" s="78"/>
      <c r="I21" s="78"/>
      <c r="J21" s="78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x14ac:dyDescent="0.35">
      <c r="A22" s="78" t="s">
        <v>46</v>
      </c>
      <c r="B22" s="78"/>
      <c r="C22" s="78"/>
      <c r="D22" s="78"/>
      <c r="E22" s="78"/>
      <c r="F22" s="78"/>
      <c r="G22" s="78"/>
      <c r="H22" s="78"/>
      <c r="I22" s="78"/>
      <c r="J22" s="78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s="32" customFormat="1" x14ac:dyDescent="0.35">
      <c r="B23" s="33"/>
    </row>
    <row r="24" spans="1:26" ht="14.5" customHeight="1" x14ac:dyDescent="0.35">
      <c r="A24" s="86" t="s">
        <v>36</v>
      </c>
      <c r="B24" s="68" t="s">
        <v>3</v>
      </c>
      <c r="C24" s="74"/>
      <c r="D24" s="69"/>
      <c r="E24" s="65" t="s">
        <v>4</v>
      </c>
      <c r="F24" s="66"/>
      <c r="G24" s="66"/>
      <c r="H24" s="66"/>
      <c r="I24" s="66"/>
      <c r="J24" s="67"/>
      <c r="K24" s="79" t="s">
        <v>5</v>
      </c>
      <c r="L24" s="85"/>
      <c r="M24" s="85"/>
      <c r="N24" s="85"/>
      <c r="O24" s="85"/>
      <c r="P24" s="80"/>
      <c r="Q24" s="32"/>
      <c r="R24" s="96" t="s">
        <v>43</v>
      </c>
      <c r="S24" s="96"/>
      <c r="T24" s="96"/>
      <c r="U24" s="32"/>
      <c r="V24" s="32"/>
      <c r="W24" s="32"/>
      <c r="X24" s="32"/>
    </row>
    <row r="25" spans="1:26" ht="14.5" customHeight="1" x14ac:dyDescent="0.35">
      <c r="A25" s="87"/>
      <c r="B25" s="75" t="s">
        <v>22</v>
      </c>
      <c r="C25" s="68" t="s">
        <v>6</v>
      </c>
      <c r="D25" s="69"/>
      <c r="E25" s="63" t="s">
        <v>22</v>
      </c>
      <c r="F25" s="65" t="s">
        <v>31</v>
      </c>
      <c r="G25" s="67"/>
      <c r="H25" s="63" t="s">
        <v>22</v>
      </c>
      <c r="I25" s="65" t="s">
        <v>32</v>
      </c>
      <c r="J25" s="67"/>
      <c r="K25" s="61" t="s">
        <v>22</v>
      </c>
      <c r="L25" s="79" t="s">
        <v>8</v>
      </c>
      <c r="M25" s="80"/>
      <c r="N25" s="83" t="s">
        <v>22</v>
      </c>
      <c r="O25" s="79" t="s">
        <v>15</v>
      </c>
      <c r="P25" s="80"/>
      <c r="Q25" s="32"/>
      <c r="R25" s="96"/>
      <c r="S25" s="96"/>
      <c r="T25" s="96"/>
      <c r="U25" s="32"/>
      <c r="V25" s="32"/>
      <c r="W25" s="32"/>
      <c r="X25" s="32"/>
    </row>
    <row r="26" spans="1:26" x14ac:dyDescent="0.35">
      <c r="A26" s="88"/>
      <c r="B26" s="76"/>
      <c r="C26" s="4" t="s">
        <v>19</v>
      </c>
      <c r="D26" s="4" t="s">
        <v>33</v>
      </c>
      <c r="E26" s="64"/>
      <c r="F26" s="5" t="s">
        <v>19</v>
      </c>
      <c r="G26" s="5" t="s">
        <v>33</v>
      </c>
      <c r="H26" s="64"/>
      <c r="I26" s="5" t="s">
        <v>19</v>
      </c>
      <c r="J26" s="5" t="s">
        <v>33</v>
      </c>
      <c r="K26" s="62"/>
      <c r="L26" s="6" t="s">
        <v>19</v>
      </c>
      <c r="M26" s="6" t="s">
        <v>33</v>
      </c>
      <c r="N26" s="84"/>
      <c r="O26" s="6" t="s">
        <v>19</v>
      </c>
      <c r="P26" s="6" t="s">
        <v>33</v>
      </c>
      <c r="Q26" s="32"/>
      <c r="R26" s="32"/>
      <c r="S26" s="32"/>
      <c r="T26" s="32"/>
      <c r="U26" s="32"/>
      <c r="V26" s="32"/>
      <c r="W26" s="32"/>
      <c r="X26" s="32"/>
    </row>
    <row r="27" spans="1:26" ht="16.5" customHeight="1" x14ac:dyDescent="0.35">
      <c r="A27" s="47" t="s">
        <v>23</v>
      </c>
      <c r="B27" s="9">
        <v>338</v>
      </c>
      <c r="C27" s="9">
        <v>120</v>
      </c>
      <c r="D27" s="37">
        <f>C27/B27</f>
        <v>0.35502958579881655</v>
      </c>
      <c r="E27" s="9">
        <v>825</v>
      </c>
      <c r="F27" s="9">
        <v>140</v>
      </c>
      <c r="G27" s="37">
        <f>F27/E27</f>
        <v>0.16969696969696971</v>
      </c>
      <c r="H27" s="9">
        <v>546</v>
      </c>
      <c r="I27" s="9">
        <v>236</v>
      </c>
      <c r="J27" s="37">
        <f>I27/H27</f>
        <v>0.43223443223443225</v>
      </c>
      <c r="K27" s="9">
        <v>827</v>
      </c>
      <c r="L27" s="9">
        <v>149</v>
      </c>
      <c r="M27" s="37">
        <f>L27/K27</f>
        <v>0.18016928657799275</v>
      </c>
      <c r="N27" s="9">
        <v>1652</v>
      </c>
      <c r="O27" s="9">
        <v>862</v>
      </c>
      <c r="P27" s="37">
        <f>O27/N27</f>
        <v>0.52179176755447942</v>
      </c>
      <c r="Q27" s="32"/>
      <c r="R27" s="38"/>
      <c r="S27" s="39" t="s">
        <v>40</v>
      </c>
      <c r="T27" s="32"/>
      <c r="U27" s="32"/>
      <c r="V27" s="32"/>
      <c r="W27" s="32"/>
      <c r="X27" s="32"/>
    </row>
    <row r="28" spans="1:26" ht="15" customHeight="1" x14ac:dyDescent="0.4">
      <c r="A28" s="47" t="s">
        <v>24</v>
      </c>
      <c r="B28" s="9">
        <v>587</v>
      </c>
      <c r="C28" s="9">
        <v>185</v>
      </c>
      <c r="D28" s="37">
        <f t="shared" ref="D28:D33" si="11">C28/B28</f>
        <v>0.31516183986371382</v>
      </c>
      <c r="E28" s="9">
        <v>1062</v>
      </c>
      <c r="F28" s="9">
        <v>156</v>
      </c>
      <c r="G28" s="37">
        <f t="shared" ref="G28:G33" si="12">F28/E28</f>
        <v>0.14689265536723164</v>
      </c>
      <c r="H28" s="9">
        <v>735</v>
      </c>
      <c r="I28" s="9">
        <v>230</v>
      </c>
      <c r="J28" s="37">
        <f t="shared" ref="J28:J36" si="13">I28/H28</f>
        <v>0.31292517006802723</v>
      </c>
      <c r="K28" s="9">
        <v>1189</v>
      </c>
      <c r="L28" s="9">
        <v>115</v>
      </c>
      <c r="M28" s="37">
        <f t="shared" ref="M28:M36" si="14">L28/K28</f>
        <v>9.6719932716568549E-2</v>
      </c>
      <c r="N28" s="9">
        <v>2384</v>
      </c>
      <c r="O28" s="9">
        <v>875</v>
      </c>
      <c r="P28" s="37">
        <f t="shared" ref="P28:P33" si="15">O28/N28</f>
        <v>0.36703020134228187</v>
      </c>
      <c r="Q28" s="32"/>
      <c r="R28" s="40"/>
      <c r="S28" s="41" t="s">
        <v>41</v>
      </c>
      <c r="T28" s="32"/>
      <c r="U28" s="32"/>
      <c r="V28" s="32"/>
      <c r="W28" s="32"/>
      <c r="X28" s="32"/>
    </row>
    <row r="29" spans="1:26" ht="16.5" customHeight="1" x14ac:dyDescent="0.4">
      <c r="A29" s="47" t="s">
        <v>25</v>
      </c>
      <c r="B29" s="9">
        <v>83</v>
      </c>
      <c r="C29" s="9">
        <v>33</v>
      </c>
      <c r="D29" s="37">
        <f t="shared" si="11"/>
        <v>0.39759036144578314</v>
      </c>
      <c r="E29" s="9">
        <v>251</v>
      </c>
      <c r="F29" s="9">
        <v>47</v>
      </c>
      <c r="G29" s="37">
        <f t="shared" si="12"/>
        <v>0.18725099601593626</v>
      </c>
      <c r="H29" s="9">
        <v>184</v>
      </c>
      <c r="I29" s="9">
        <v>101</v>
      </c>
      <c r="J29" s="37">
        <f t="shared" si="13"/>
        <v>0.54891304347826086</v>
      </c>
      <c r="K29" s="9">
        <v>537</v>
      </c>
      <c r="L29" s="9">
        <v>50</v>
      </c>
      <c r="M29" s="37">
        <f t="shared" si="14"/>
        <v>9.3109869646182494E-2</v>
      </c>
      <c r="N29" s="9">
        <v>1074</v>
      </c>
      <c r="O29" s="9">
        <v>811</v>
      </c>
      <c r="P29" s="37">
        <f t="shared" si="15"/>
        <v>0.75512104283054005</v>
      </c>
      <c r="Q29" s="32"/>
      <c r="R29" s="42"/>
      <c r="S29" s="41" t="s">
        <v>42</v>
      </c>
      <c r="T29" s="32"/>
      <c r="U29" s="32"/>
      <c r="V29" s="32"/>
      <c r="W29" s="32"/>
      <c r="X29" s="32"/>
    </row>
    <row r="30" spans="1:26" x14ac:dyDescent="0.35">
      <c r="A30" s="7" t="s">
        <v>26</v>
      </c>
      <c r="B30" s="9">
        <v>321</v>
      </c>
      <c r="C30" s="9">
        <v>108</v>
      </c>
      <c r="D30" s="37">
        <f t="shared" si="11"/>
        <v>0.3364485981308411</v>
      </c>
      <c r="E30" s="9">
        <v>682</v>
      </c>
      <c r="F30" s="9">
        <v>75</v>
      </c>
      <c r="G30" s="37">
        <f t="shared" si="12"/>
        <v>0.10997067448680352</v>
      </c>
      <c r="H30" s="9">
        <v>476</v>
      </c>
      <c r="I30" s="9">
        <v>150</v>
      </c>
      <c r="J30" s="37">
        <f t="shared" si="13"/>
        <v>0.31512605042016806</v>
      </c>
      <c r="K30" s="9">
        <v>1076</v>
      </c>
      <c r="L30" s="9">
        <v>170</v>
      </c>
      <c r="M30" s="37">
        <f t="shared" si="14"/>
        <v>0.15799256505576209</v>
      </c>
      <c r="N30" s="9">
        <v>2145</v>
      </c>
      <c r="O30" s="9">
        <v>1276</v>
      </c>
      <c r="P30" s="37">
        <f t="shared" si="15"/>
        <v>0.59487179487179487</v>
      </c>
      <c r="Q30" s="32"/>
      <c r="R30" s="32"/>
      <c r="S30" s="32"/>
      <c r="T30" s="32"/>
      <c r="U30" s="32"/>
      <c r="V30" s="32"/>
      <c r="W30" s="32"/>
      <c r="X30" s="32"/>
    </row>
    <row r="31" spans="1:26" hidden="1" x14ac:dyDescent="0.35">
      <c r="B31" s="34"/>
      <c r="C31" s="34"/>
      <c r="D31" s="37" t="e">
        <f t="shared" si="11"/>
        <v>#DIV/0!</v>
      </c>
      <c r="E31" s="34"/>
      <c r="F31" s="34"/>
      <c r="G31" s="37" t="e">
        <f t="shared" si="12"/>
        <v>#DIV/0!</v>
      </c>
      <c r="H31" s="34"/>
      <c r="I31" s="34"/>
      <c r="J31" s="37" t="e">
        <f t="shared" si="13"/>
        <v>#DIV/0!</v>
      </c>
      <c r="K31" s="34"/>
      <c r="L31" s="34"/>
      <c r="M31" s="37" t="e">
        <f t="shared" si="14"/>
        <v>#DIV/0!</v>
      </c>
      <c r="N31" s="34"/>
      <c r="O31" s="34"/>
      <c r="P31" s="37" t="e">
        <f t="shared" si="15"/>
        <v>#DIV/0!</v>
      </c>
      <c r="Q31" s="32"/>
      <c r="R31" s="32"/>
      <c r="S31" s="32"/>
      <c r="T31" s="32"/>
      <c r="U31" s="32"/>
      <c r="V31" s="32"/>
      <c r="W31" s="32"/>
      <c r="X31" s="32"/>
    </row>
    <row r="32" spans="1:26" x14ac:dyDescent="0.35">
      <c r="A32" s="7" t="s">
        <v>28</v>
      </c>
      <c r="B32" s="9">
        <v>113</v>
      </c>
      <c r="C32" s="9">
        <v>41</v>
      </c>
      <c r="D32" s="37">
        <f t="shared" si="11"/>
        <v>0.36283185840707965</v>
      </c>
      <c r="E32" s="9">
        <v>269</v>
      </c>
      <c r="F32" s="9">
        <v>19</v>
      </c>
      <c r="G32" s="37">
        <f t="shared" si="12"/>
        <v>7.0631970260223054E-2</v>
      </c>
      <c r="H32" s="9">
        <v>241</v>
      </c>
      <c r="I32" s="9">
        <v>30</v>
      </c>
      <c r="J32" s="37">
        <f t="shared" si="13"/>
        <v>0.12448132780082988</v>
      </c>
      <c r="K32" s="9">
        <v>928</v>
      </c>
      <c r="L32" s="9">
        <v>37</v>
      </c>
      <c r="M32" s="37">
        <f t="shared" si="14"/>
        <v>3.9870689655172417E-2</v>
      </c>
      <c r="N32" s="9">
        <v>1858</v>
      </c>
      <c r="O32" s="9">
        <v>1194</v>
      </c>
      <c r="P32" s="37">
        <f t="shared" si="15"/>
        <v>0.64262648008611412</v>
      </c>
      <c r="Q32" s="32"/>
      <c r="R32" s="32"/>
      <c r="S32" s="32"/>
      <c r="T32" s="32"/>
      <c r="U32" s="32"/>
      <c r="V32" s="32"/>
      <c r="W32" s="32"/>
      <c r="X32" s="32"/>
    </row>
    <row r="33" spans="1:24" x14ac:dyDescent="0.35">
      <c r="A33" s="7" t="s">
        <v>29</v>
      </c>
      <c r="B33" s="9">
        <v>813</v>
      </c>
      <c r="C33" s="9">
        <v>278</v>
      </c>
      <c r="D33" s="37">
        <f t="shared" si="11"/>
        <v>0.34194341943419432</v>
      </c>
      <c r="E33" s="9">
        <v>1687</v>
      </c>
      <c r="F33" s="9">
        <v>281</v>
      </c>
      <c r="G33" s="37">
        <f t="shared" si="12"/>
        <v>0.16656787196206282</v>
      </c>
      <c r="H33" s="9">
        <v>1192</v>
      </c>
      <c r="I33" s="9">
        <v>348</v>
      </c>
      <c r="J33" s="37">
        <f t="shared" si="13"/>
        <v>0.29194630872483224</v>
      </c>
      <c r="K33" s="9">
        <v>1944</v>
      </c>
      <c r="L33" s="9">
        <v>323</v>
      </c>
      <c r="M33" s="37">
        <f t="shared" si="14"/>
        <v>0.1661522633744856</v>
      </c>
      <c r="N33" s="9">
        <v>3882</v>
      </c>
      <c r="O33" s="9">
        <v>2415</v>
      </c>
      <c r="P33" s="37">
        <f t="shared" si="15"/>
        <v>0.62210200927357029</v>
      </c>
      <c r="Q33" s="32"/>
      <c r="R33" s="32"/>
      <c r="S33" s="32"/>
      <c r="T33" s="32"/>
      <c r="U33" s="32"/>
      <c r="V33" s="32"/>
      <c r="W33" s="32"/>
      <c r="X33" s="32"/>
    </row>
    <row r="34" spans="1:24" x14ac:dyDescent="0.35">
      <c r="A34" s="7" t="s">
        <v>34</v>
      </c>
      <c r="B34" s="35"/>
      <c r="C34" s="9">
        <v>46</v>
      </c>
      <c r="D34" s="36"/>
      <c r="E34" s="35"/>
      <c r="F34" s="9">
        <v>15</v>
      </c>
      <c r="G34" s="36"/>
      <c r="H34" s="35"/>
      <c r="I34" s="9">
        <v>24</v>
      </c>
      <c r="J34" s="36"/>
      <c r="K34" s="35"/>
      <c r="L34" s="9">
        <v>34</v>
      </c>
      <c r="M34" s="36"/>
      <c r="N34" s="35"/>
      <c r="O34" s="9">
        <v>289</v>
      </c>
      <c r="P34" s="36"/>
      <c r="Q34" s="32"/>
      <c r="R34" s="32"/>
      <c r="S34" s="32"/>
      <c r="T34" s="32"/>
      <c r="U34" s="32"/>
      <c r="V34" s="32"/>
      <c r="W34" s="32"/>
      <c r="X34" s="32"/>
    </row>
    <row r="35" spans="1:24" x14ac:dyDescent="0.35">
      <c r="A35" s="13" t="s">
        <v>27</v>
      </c>
      <c r="B35" s="29">
        <v>1203</v>
      </c>
      <c r="C35" s="29">
        <f>SUM(C37:C38)</f>
        <v>430</v>
      </c>
      <c r="D35" s="37">
        <f>C35/B35</f>
        <v>0.35743973399833751</v>
      </c>
      <c r="E35" s="29">
        <v>2391</v>
      </c>
      <c r="F35" s="29">
        <f>SUM(F37:F38)</f>
        <v>184</v>
      </c>
      <c r="G35" s="37">
        <f>F35/E35</f>
        <v>7.6955248849853622E-2</v>
      </c>
      <c r="H35" s="29">
        <v>1650</v>
      </c>
      <c r="I35" s="29">
        <f>SUM(I37:I38)</f>
        <v>449</v>
      </c>
      <c r="J35" s="37">
        <f t="shared" si="13"/>
        <v>0.2721212121212121</v>
      </c>
      <c r="K35" s="29">
        <v>2538</v>
      </c>
      <c r="L35" s="29">
        <f>SUM(L37:L38)</f>
        <v>311</v>
      </c>
      <c r="M35" s="37">
        <f t="shared" si="14"/>
        <v>0.12253743104806934</v>
      </c>
      <c r="N35" s="29">
        <v>5073</v>
      </c>
      <c r="O35" s="29">
        <f>SUM(O37:O38)</f>
        <v>1964</v>
      </c>
      <c r="P35" s="37">
        <f t="shared" ref="P35:P36" si="16">O35/N35</f>
        <v>0.3871476443918786</v>
      </c>
      <c r="Q35" s="32"/>
      <c r="R35" s="32"/>
      <c r="S35" s="32"/>
      <c r="T35" s="32"/>
      <c r="U35" s="32"/>
      <c r="V35" s="32"/>
      <c r="W35" s="32"/>
      <c r="X35" s="32"/>
    </row>
    <row r="36" spans="1:24" x14ac:dyDescent="0.35">
      <c r="A36" s="8" t="s">
        <v>30</v>
      </c>
      <c r="B36" s="30">
        <f>SUM(B27:B35)</f>
        <v>3458</v>
      </c>
      <c r="C36" s="30">
        <f>SUM(C27:C35)</f>
        <v>1241</v>
      </c>
      <c r="D36" s="37">
        <f>C36/B36</f>
        <v>0.35887796414112205</v>
      </c>
      <c r="E36" s="30">
        <f>SUM(E27:E35)</f>
        <v>7167</v>
      </c>
      <c r="F36" s="30">
        <f>SUM(F27:F35)</f>
        <v>917</v>
      </c>
      <c r="G36" s="37">
        <f>F36/E36</f>
        <v>0.1279475373238454</v>
      </c>
      <c r="H36" s="30">
        <f>SUM(H27:H35)</f>
        <v>5024</v>
      </c>
      <c r="I36" s="30">
        <f>SUM(I27:I35)</f>
        <v>1568</v>
      </c>
      <c r="J36" s="37">
        <f t="shared" si="13"/>
        <v>0.31210191082802546</v>
      </c>
      <c r="K36" s="30">
        <f>SUM(K27:K35)</f>
        <v>9039</v>
      </c>
      <c r="L36" s="30">
        <f>SUM(L27:L35)</f>
        <v>1189</v>
      </c>
      <c r="M36" s="37">
        <f t="shared" si="14"/>
        <v>0.13154109967916805</v>
      </c>
      <c r="N36" s="30">
        <f>SUM(N27:N35)</f>
        <v>18068</v>
      </c>
      <c r="O36" s="30">
        <f>SUM(O27:O35)</f>
        <v>9686</v>
      </c>
      <c r="P36" s="37">
        <f t="shared" si="16"/>
        <v>0.53608589771972548</v>
      </c>
      <c r="Q36" s="32"/>
      <c r="R36" s="32"/>
      <c r="S36" s="32"/>
      <c r="T36" s="32"/>
      <c r="U36" s="32"/>
      <c r="V36" s="32"/>
      <c r="W36" s="32"/>
      <c r="X36" s="32"/>
    </row>
    <row r="37" spans="1:24" ht="19" hidden="1" customHeight="1" x14ac:dyDescent="0.35">
      <c r="B37" s="20"/>
      <c r="C37" s="15">
        <v>394</v>
      </c>
      <c r="D37" s="20"/>
      <c r="E37" s="20"/>
      <c r="F37" s="15">
        <v>172</v>
      </c>
      <c r="G37" s="20"/>
      <c r="H37" s="20"/>
      <c r="I37" s="15">
        <v>437</v>
      </c>
      <c r="J37" s="20"/>
      <c r="K37" s="20"/>
      <c r="L37" s="15">
        <v>298</v>
      </c>
      <c r="M37" s="20"/>
      <c r="N37" s="20"/>
      <c r="O37" s="15">
        <v>1959</v>
      </c>
      <c r="P37" s="20"/>
      <c r="Q37" s="32"/>
      <c r="R37" s="32"/>
      <c r="S37" s="32"/>
      <c r="T37" s="32"/>
      <c r="U37" s="32"/>
      <c r="V37" s="32"/>
      <c r="W37" s="32"/>
      <c r="X37" s="32"/>
    </row>
    <row r="38" spans="1:24" ht="17" hidden="1" customHeight="1" x14ac:dyDescent="0.35">
      <c r="B38" s="20"/>
      <c r="C38" s="49">
        <v>36</v>
      </c>
      <c r="D38" s="20"/>
      <c r="E38" s="20"/>
      <c r="F38" s="49">
        <v>12</v>
      </c>
      <c r="G38" s="20"/>
      <c r="H38" s="20"/>
      <c r="I38" s="49">
        <v>12</v>
      </c>
      <c r="J38" s="20"/>
      <c r="K38" s="20"/>
      <c r="L38" s="49">
        <v>13</v>
      </c>
      <c r="M38" s="20"/>
      <c r="N38" s="20"/>
      <c r="O38" s="49">
        <v>5</v>
      </c>
      <c r="P38" s="20"/>
      <c r="Q38" s="32"/>
      <c r="R38" s="32"/>
      <c r="S38" s="32"/>
      <c r="T38" s="32"/>
      <c r="U38" s="32"/>
      <c r="V38" s="32"/>
      <c r="W38" s="32"/>
      <c r="X38" s="32"/>
    </row>
    <row r="39" spans="1:24" x14ac:dyDescent="0.35">
      <c r="A39" s="78" t="s">
        <v>38</v>
      </c>
      <c r="B39" s="78"/>
      <c r="C39" s="78"/>
      <c r="D39" s="78"/>
      <c r="E39" s="78"/>
      <c r="F39" s="78"/>
      <c r="G39" s="78"/>
      <c r="H39" s="78"/>
      <c r="I39" s="78"/>
      <c r="J39" s="78"/>
      <c r="K39" s="25"/>
      <c r="L39" s="25"/>
      <c r="M39" s="25"/>
      <c r="N39" s="25"/>
      <c r="O39" s="25"/>
      <c r="P39" s="25"/>
      <c r="Q39" s="32"/>
      <c r="R39" s="32"/>
      <c r="S39" s="32"/>
      <c r="T39" s="32"/>
      <c r="U39" s="32"/>
      <c r="V39" s="32"/>
      <c r="W39" s="32"/>
      <c r="X39" s="32"/>
    </row>
    <row r="40" spans="1:24" x14ac:dyDescent="0.35">
      <c r="A40" s="78" t="s">
        <v>46</v>
      </c>
      <c r="B40" s="78"/>
      <c r="C40" s="78"/>
      <c r="D40" s="78"/>
      <c r="E40" s="78"/>
      <c r="F40" s="78"/>
      <c r="G40" s="78"/>
      <c r="H40" s="78"/>
      <c r="I40" s="78"/>
      <c r="J40" s="78"/>
      <c r="K40" s="25"/>
      <c r="L40" s="25"/>
      <c r="M40" s="25"/>
      <c r="N40" s="25"/>
      <c r="O40" s="25"/>
      <c r="P40" s="25"/>
      <c r="Q40" s="32"/>
      <c r="R40" s="32"/>
      <c r="S40" s="32"/>
      <c r="T40" s="32"/>
      <c r="U40" s="32"/>
      <c r="V40" s="32"/>
      <c r="W40" s="32"/>
      <c r="X40" s="32"/>
    </row>
    <row r="41" spans="1:24" x14ac:dyDescent="0.35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32"/>
      <c r="R41" s="32"/>
      <c r="S41" s="32"/>
      <c r="T41" s="32"/>
      <c r="U41" s="32"/>
      <c r="V41" s="32"/>
      <c r="W41" s="32"/>
      <c r="X41" s="32"/>
    </row>
    <row r="42" spans="1:24" x14ac:dyDescent="0.35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32"/>
      <c r="R42" s="32"/>
      <c r="S42" s="32"/>
      <c r="T42" s="32"/>
      <c r="U42" s="32"/>
      <c r="V42" s="32"/>
      <c r="W42" s="32"/>
      <c r="X42" s="32"/>
    </row>
    <row r="43" spans="1:24" x14ac:dyDescent="0.3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32"/>
      <c r="R43" s="32"/>
      <c r="S43" s="32"/>
      <c r="T43" s="32"/>
      <c r="U43" s="32"/>
      <c r="V43" s="32"/>
      <c r="W43" s="32"/>
      <c r="X43" s="32"/>
    </row>
    <row r="44" spans="1:24" x14ac:dyDescent="0.35">
      <c r="Q44" s="32"/>
      <c r="R44" s="32"/>
      <c r="S44" s="32"/>
      <c r="T44" s="32"/>
      <c r="U44" s="32"/>
      <c r="V44" s="32"/>
      <c r="W44" s="32"/>
      <c r="X44" s="32"/>
    </row>
  </sheetData>
  <mergeCells count="37">
    <mergeCell ref="E24:J24"/>
    <mergeCell ref="E1:Z6"/>
    <mergeCell ref="A7:A9"/>
    <mergeCell ref="B7:J7"/>
    <mergeCell ref="K7:Q7"/>
    <mergeCell ref="V7:Z7"/>
    <mergeCell ref="B8:B9"/>
    <mergeCell ref="C8:D8"/>
    <mergeCell ref="E8:F8"/>
    <mergeCell ref="G8:H8"/>
    <mergeCell ref="I8:J8"/>
    <mergeCell ref="W8:X8"/>
    <mergeCell ref="Y8:Z8"/>
    <mergeCell ref="V8:V9"/>
    <mergeCell ref="K24:P24"/>
    <mergeCell ref="R24:T25"/>
    <mergeCell ref="B25:B26"/>
    <mergeCell ref="K8:K9"/>
    <mergeCell ref="L8:M8"/>
    <mergeCell ref="N8:Q8"/>
    <mergeCell ref="R8:S8"/>
    <mergeCell ref="T8:U8"/>
    <mergeCell ref="L25:M25"/>
    <mergeCell ref="N25:N26"/>
    <mergeCell ref="O25:P25"/>
    <mergeCell ref="K25:K26"/>
    <mergeCell ref="A21:J21"/>
    <mergeCell ref="A22:J22"/>
    <mergeCell ref="A24:A26"/>
    <mergeCell ref="B24:D24"/>
    <mergeCell ref="A39:J39"/>
    <mergeCell ref="A40:J40"/>
    <mergeCell ref="C25:D25"/>
    <mergeCell ref="E25:E26"/>
    <mergeCell ref="F25:G25"/>
    <mergeCell ref="H25:H26"/>
    <mergeCell ref="I25:J25"/>
  </mergeCells>
  <conditionalFormatting sqref="B3">
    <cfRule type="iconSet" priority="1">
      <iconSet>
        <cfvo type="percent" val="0"/>
        <cfvo type="num" val="0.1333"/>
        <cfvo type="num" val="0.1583"/>
      </iconSet>
    </cfRule>
  </conditionalFormatting>
  <conditionalFormatting sqref="B4">
    <cfRule type="iconSet" priority="3">
      <iconSet>
        <cfvo type="percent" val="0"/>
        <cfvo type="num" val="0.1333"/>
        <cfvo type="num" val="0.1583"/>
      </iconSet>
    </cfRule>
  </conditionalFormatting>
  <conditionalFormatting sqref="C6 B3:B5">
    <cfRule type="iconSet" priority="2">
      <iconSet>
        <cfvo type="percent" val="0"/>
        <cfvo type="num" val="0.1333"/>
        <cfvo type="num" val="0.158"/>
      </iconSet>
    </cfRule>
  </conditionalFormatting>
  <conditionalFormatting sqref="C6 B5">
    <cfRule type="iconSet" priority="4">
      <iconSet>
        <cfvo type="percent" val="0"/>
        <cfvo type="num" val="0.1333"/>
        <cfvo type="num" val="0.1583"/>
      </iconSet>
    </cfRule>
  </conditionalFormatting>
  <conditionalFormatting sqref="D10:D18">
    <cfRule type="iconSet" priority="29">
      <iconSet>
        <cfvo type="percent" val="0"/>
        <cfvo type="num" val="0.33"/>
        <cfvo type="num" val="0.41499999999999998"/>
      </iconSet>
    </cfRule>
  </conditionalFormatting>
  <conditionalFormatting sqref="D27:D33">
    <cfRule type="iconSet" priority="18">
      <iconSet>
        <cfvo type="percent" val="0"/>
        <cfvo type="num" val="0.33"/>
        <cfvo type="num" val="0.41499999999999998"/>
      </iconSet>
    </cfRule>
  </conditionalFormatting>
  <conditionalFormatting sqref="D35:D36">
    <cfRule type="iconSet" priority="17">
      <iconSet>
        <cfvo type="percent" val="0"/>
        <cfvo type="num" val="0.33"/>
        <cfvo type="num" val="0.41499999999999998"/>
      </iconSet>
    </cfRule>
  </conditionalFormatting>
  <conditionalFormatting sqref="F10:F18">
    <cfRule type="iconSet" priority="28">
      <iconSet>
        <cfvo type="percent" val="0"/>
        <cfvo type="num" val="0.33"/>
        <cfvo type="num" val="0.41499999999999998"/>
      </iconSet>
    </cfRule>
  </conditionalFormatting>
  <conditionalFormatting sqref="G27:G33">
    <cfRule type="iconSet" priority="16">
      <iconSet>
        <cfvo type="percent" val="0"/>
        <cfvo type="num" val="0.33"/>
        <cfvo type="num" val="0.41499999999999998"/>
      </iconSet>
    </cfRule>
  </conditionalFormatting>
  <conditionalFormatting sqref="G35:G36">
    <cfRule type="iconSet" priority="12">
      <iconSet>
        <cfvo type="percent" val="0"/>
        <cfvo type="num" val="0.33"/>
        <cfvo type="num" val="0.41499999999999998"/>
      </iconSet>
    </cfRule>
  </conditionalFormatting>
  <conditionalFormatting sqref="H10:H18">
    <cfRule type="iconSet" priority="27">
      <iconSet>
        <cfvo type="percent" val="0"/>
        <cfvo type="num" val="0.33"/>
        <cfvo type="num" val="0.41499999999999998"/>
      </iconSet>
    </cfRule>
  </conditionalFormatting>
  <conditionalFormatting sqref="J10:J18">
    <cfRule type="iconSet" priority="26">
      <iconSet>
        <cfvo type="percent" val="0"/>
        <cfvo type="num" val="0.33"/>
        <cfvo type="num" val="0.41499999999999998"/>
      </iconSet>
    </cfRule>
  </conditionalFormatting>
  <conditionalFormatting sqref="J27:J33">
    <cfRule type="iconSet" priority="15">
      <iconSet>
        <cfvo type="percent" val="0"/>
        <cfvo type="num" val="0.33"/>
        <cfvo type="num" val="0.41499999999999998"/>
      </iconSet>
    </cfRule>
  </conditionalFormatting>
  <conditionalFormatting sqref="J35:J36">
    <cfRule type="iconSet" priority="11">
      <iconSet>
        <cfvo type="percent" val="0"/>
        <cfvo type="num" val="0.33"/>
        <cfvo type="num" val="0.41499999999999998"/>
      </iconSet>
    </cfRule>
  </conditionalFormatting>
  <conditionalFormatting sqref="M10:M18">
    <cfRule type="iconSet" priority="25">
      <iconSet>
        <cfvo type="percent" val="0"/>
        <cfvo type="num" val="0.33"/>
        <cfvo type="num" val="0.41499999999999998"/>
      </iconSet>
    </cfRule>
  </conditionalFormatting>
  <conditionalFormatting sqref="M27:M33">
    <cfRule type="iconSet" priority="14">
      <iconSet>
        <cfvo type="percent" val="0"/>
        <cfvo type="num" val="0.33"/>
        <cfvo type="num" val="0.41499999999999998"/>
      </iconSet>
    </cfRule>
  </conditionalFormatting>
  <conditionalFormatting sqref="M35:M36">
    <cfRule type="iconSet" priority="10">
      <iconSet>
        <cfvo type="percent" val="0"/>
        <cfvo type="num" val="0.33"/>
        <cfvo type="num" val="0.41499999999999998"/>
      </iconSet>
    </cfRule>
  </conditionalFormatting>
  <conditionalFormatting sqref="O10:O18">
    <cfRule type="iconSet" priority="24">
      <iconSet>
        <cfvo type="percent" val="0"/>
        <cfvo type="num" val="0.33"/>
        <cfvo type="num" val="0.41499999999999998"/>
      </iconSet>
    </cfRule>
  </conditionalFormatting>
  <conditionalFormatting sqref="P27:P33">
    <cfRule type="iconSet" priority="13">
      <iconSet>
        <cfvo type="percent" val="0"/>
        <cfvo type="num" val="0.33"/>
        <cfvo type="num" val="0.41499999999999998"/>
      </iconSet>
    </cfRule>
  </conditionalFormatting>
  <conditionalFormatting sqref="P35:P36">
    <cfRule type="iconSet" priority="9">
      <iconSet>
        <cfvo type="percent" val="0"/>
        <cfvo type="num" val="0.33"/>
        <cfvo type="num" val="0.41499999999999998"/>
      </iconSet>
    </cfRule>
  </conditionalFormatting>
  <conditionalFormatting sqref="Q10:Q18">
    <cfRule type="iconSet" priority="23">
      <iconSet>
        <cfvo type="percent" val="0"/>
        <cfvo type="num" val="0.33"/>
        <cfvo type="num" val="0.41499999999999998"/>
      </iconSet>
    </cfRule>
  </conditionalFormatting>
  <conditionalFormatting sqref="S10:S18">
    <cfRule type="iconSet" priority="22">
      <iconSet>
        <cfvo type="percent" val="0"/>
        <cfvo type="num" val="0.33"/>
        <cfvo type="num" val="0.41499999999999998"/>
      </iconSet>
    </cfRule>
  </conditionalFormatting>
  <conditionalFormatting sqref="S27">
    <cfRule type="iconSet" priority="5">
      <iconSet>
        <cfvo type="percent" val="0"/>
        <cfvo type="num" val="0.1333"/>
        <cfvo type="num" val="0.1583"/>
      </iconSet>
    </cfRule>
  </conditionalFormatting>
  <conditionalFormatting sqref="S27:S29">
    <cfRule type="iconSet" priority="6">
      <iconSet>
        <cfvo type="percent" val="0"/>
        <cfvo type="num" val="0.1333"/>
        <cfvo type="num" val="0.158"/>
      </iconSet>
    </cfRule>
  </conditionalFormatting>
  <conditionalFormatting sqref="S28">
    <cfRule type="iconSet" priority="7">
      <iconSet>
        <cfvo type="percent" val="0"/>
        <cfvo type="num" val="0.1333"/>
        <cfvo type="num" val="0.1583"/>
      </iconSet>
    </cfRule>
  </conditionalFormatting>
  <conditionalFormatting sqref="S29">
    <cfRule type="iconSet" priority="8">
      <iconSet>
        <cfvo type="percent" val="0"/>
        <cfvo type="num" val="0.1333"/>
        <cfvo type="num" val="0.1583"/>
      </iconSet>
    </cfRule>
  </conditionalFormatting>
  <conditionalFormatting sqref="U10:U18">
    <cfRule type="iconSet" priority="21">
      <iconSet>
        <cfvo type="percent" val="0"/>
        <cfvo type="num" val="0.33"/>
        <cfvo type="num" val="0.41499999999999998"/>
      </iconSet>
    </cfRule>
  </conditionalFormatting>
  <conditionalFormatting sqref="X10:X18">
    <cfRule type="iconSet" priority="20">
      <iconSet>
        <cfvo type="percent" val="0"/>
        <cfvo type="num" val="0.33"/>
        <cfvo type="num" val="0.41499999999999998"/>
      </iconSet>
    </cfRule>
  </conditionalFormatting>
  <conditionalFormatting sqref="Z10:Z18">
    <cfRule type="iconSet" priority="19">
      <iconSet>
        <cfvo type="percent" val="0"/>
        <cfvo type="num" val="0.33"/>
        <cfvo type="num" val="0.41499999999999998"/>
      </iconSet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7DF0-B9E5-4263-80AC-33B1B39F2EDB}">
  <dimension ref="A1:Z45"/>
  <sheetViews>
    <sheetView zoomScale="90" zoomScaleNormal="90" workbookViewId="0">
      <selection sqref="A1:Z23"/>
    </sheetView>
  </sheetViews>
  <sheetFormatPr baseColWidth="10" defaultRowHeight="14.5" x14ac:dyDescent="0.35"/>
  <cols>
    <col min="1" max="1" width="15.81640625" customWidth="1"/>
    <col min="2" max="2" width="6.1796875" style="31" customWidth="1"/>
    <col min="3" max="3" width="6.1796875" customWidth="1"/>
    <col min="4" max="4" width="7.08984375" customWidth="1"/>
    <col min="5" max="5" width="6.1796875" customWidth="1"/>
    <col min="6" max="6" width="6.7265625" customWidth="1"/>
    <col min="7" max="7" width="6.1796875" customWidth="1"/>
    <col min="8" max="8" width="7.1796875" customWidth="1"/>
    <col min="9" max="9" width="6.81640625" customWidth="1"/>
    <col min="10" max="10" width="7.08984375" customWidth="1"/>
    <col min="11" max="11" width="5.7265625" customWidth="1"/>
    <col min="12" max="12" width="6.81640625" customWidth="1"/>
    <col min="13" max="13" width="7.6328125" customWidth="1"/>
    <col min="14" max="14" width="6.36328125" customWidth="1"/>
    <col min="15" max="15" width="7.26953125" customWidth="1"/>
    <col min="16" max="16" width="6.54296875" customWidth="1"/>
    <col min="17" max="17" width="8.90625" customWidth="1"/>
    <col min="18" max="18" width="7.81640625" customWidth="1"/>
    <col min="19" max="19" width="6.54296875" customWidth="1"/>
    <col min="20" max="20" width="6.08984375" customWidth="1"/>
    <col min="21" max="21" width="7.26953125" customWidth="1"/>
    <col min="22" max="22" width="5.90625" customWidth="1"/>
    <col min="23" max="23" width="6.81640625" customWidth="1"/>
    <col min="24" max="24" width="6.6328125" customWidth="1"/>
    <col min="25" max="25" width="6.08984375" customWidth="1"/>
    <col min="26" max="26" width="7.36328125" customWidth="1"/>
  </cols>
  <sheetData>
    <row r="1" spans="1:26" s="32" customFormat="1" ht="22" customHeight="1" x14ac:dyDescent="0.35">
      <c r="A1" s="45" t="s">
        <v>43</v>
      </c>
      <c r="B1" s="46"/>
      <c r="C1" s="45"/>
      <c r="D1" s="45"/>
      <c r="E1" s="94" t="s">
        <v>37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s="32" customFormat="1" ht="5.5" customHeight="1" x14ac:dyDescent="0.35">
      <c r="A2" s="45"/>
      <c r="B2" s="46"/>
      <c r="C2" s="45"/>
      <c r="D2" s="45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14.5" customHeight="1" x14ac:dyDescent="0.35">
      <c r="A3" s="38"/>
      <c r="B3" s="39" t="s">
        <v>40</v>
      </c>
      <c r="D3" s="32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14.5" customHeight="1" x14ac:dyDescent="0.4">
      <c r="A4" s="40"/>
      <c r="B4" s="41" t="s">
        <v>41</v>
      </c>
      <c r="C4" s="32"/>
      <c r="D4" s="32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14.5" customHeight="1" x14ac:dyDescent="0.4">
      <c r="A5" s="42"/>
      <c r="B5" s="41" t="s">
        <v>42</v>
      </c>
      <c r="D5" s="32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s="32" customFormat="1" ht="9" customHeight="1" x14ac:dyDescent="0.4">
      <c r="A6" s="43"/>
      <c r="B6" s="44"/>
      <c r="C6" s="41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4.5" customHeight="1" x14ac:dyDescent="0.35">
      <c r="A7" s="86" t="s">
        <v>36</v>
      </c>
      <c r="B7" s="57" t="s">
        <v>0</v>
      </c>
      <c r="C7" s="93"/>
      <c r="D7" s="93"/>
      <c r="E7" s="93"/>
      <c r="F7" s="93"/>
      <c r="G7" s="93"/>
      <c r="H7" s="93"/>
      <c r="I7" s="93"/>
      <c r="J7" s="58"/>
      <c r="K7" s="59" t="s">
        <v>1</v>
      </c>
      <c r="L7" s="73"/>
      <c r="M7" s="73"/>
      <c r="N7" s="73"/>
      <c r="O7" s="73"/>
      <c r="P7" s="73"/>
      <c r="Q7" s="73"/>
      <c r="R7" s="51"/>
      <c r="S7" s="51"/>
      <c r="T7" s="51"/>
      <c r="U7" s="52"/>
      <c r="V7" s="70" t="s">
        <v>2</v>
      </c>
      <c r="W7" s="72"/>
      <c r="X7" s="72"/>
      <c r="Y7" s="72"/>
      <c r="Z7" s="71"/>
    </row>
    <row r="8" spans="1:26" x14ac:dyDescent="0.35">
      <c r="A8" s="87"/>
      <c r="B8" s="89" t="s">
        <v>22</v>
      </c>
      <c r="C8" s="57" t="s">
        <v>7</v>
      </c>
      <c r="D8" s="58"/>
      <c r="E8" s="57" t="s">
        <v>8</v>
      </c>
      <c r="F8" s="58"/>
      <c r="G8" s="57" t="s">
        <v>9</v>
      </c>
      <c r="H8" s="58"/>
      <c r="I8" s="57" t="s">
        <v>10</v>
      </c>
      <c r="J8" s="58"/>
      <c r="K8" s="91" t="s">
        <v>22</v>
      </c>
      <c r="L8" s="59" t="s">
        <v>11</v>
      </c>
      <c r="M8" s="60"/>
      <c r="N8" s="59" t="s">
        <v>12</v>
      </c>
      <c r="O8" s="73"/>
      <c r="P8" s="73"/>
      <c r="Q8" s="60"/>
      <c r="R8" s="59" t="s">
        <v>13</v>
      </c>
      <c r="S8" s="60"/>
      <c r="T8" s="59" t="s">
        <v>7</v>
      </c>
      <c r="U8" s="60"/>
      <c r="V8" s="81" t="s">
        <v>22</v>
      </c>
      <c r="W8" s="70" t="s">
        <v>13</v>
      </c>
      <c r="X8" s="71"/>
      <c r="Y8" s="70" t="s">
        <v>14</v>
      </c>
      <c r="Z8" s="71"/>
    </row>
    <row r="9" spans="1:26" ht="27.5" customHeight="1" x14ac:dyDescent="0.35">
      <c r="A9" s="88"/>
      <c r="B9" s="90"/>
      <c r="C9" s="2" t="s">
        <v>16</v>
      </c>
      <c r="D9" s="2" t="s">
        <v>33</v>
      </c>
      <c r="E9" s="2" t="s">
        <v>17</v>
      </c>
      <c r="F9" s="2" t="s">
        <v>33</v>
      </c>
      <c r="G9" s="2" t="s">
        <v>16</v>
      </c>
      <c r="H9" s="2" t="s">
        <v>33</v>
      </c>
      <c r="I9" s="2" t="s">
        <v>17</v>
      </c>
      <c r="J9" s="2" t="s">
        <v>33</v>
      </c>
      <c r="K9" s="92"/>
      <c r="L9" s="1" t="s">
        <v>16</v>
      </c>
      <c r="M9" s="1" t="s">
        <v>33</v>
      </c>
      <c r="N9" s="1" t="s">
        <v>18</v>
      </c>
      <c r="O9" s="1" t="s">
        <v>33</v>
      </c>
      <c r="P9" s="1" t="s">
        <v>17</v>
      </c>
      <c r="Q9" s="1" t="s">
        <v>33</v>
      </c>
      <c r="R9" s="1" t="s">
        <v>20</v>
      </c>
      <c r="S9" s="1" t="s">
        <v>33</v>
      </c>
      <c r="T9" s="1" t="s">
        <v>20</v>
      </c>
      <c r="U9" s="1" t="s">
        <v>33</v>
      </c>
      <c r="V9" s="82"/>
      <c r="W9" s="3" t="s">
        <v>21</v>
      </c>
      <c r="X9" s="3" t="s">
        <v>33</v>
      </c>
      <c r="Y9" s="3" t="s">
        <v>21</v>
      </c>
      <c r="Z9" s="3" t="s">
        <v>33</v>
      </c>
    </row>
    <row r="10" spans="1:26" x14ac:dyDescent="0.35">
      <c r="A10" s="7" t="s">
        <v>23</v>
      </c>
      <c r="B10" s="9">
        <v>442</v>
      </c>
      <c r="C10" s="26">
        <v>116</v>
      </c>
      <c r="D10" s="37">
        <f>C10/B10</f>
        <v>0.26244343891402716</v>
      </c>
      <c r="E10" s="26">
        <v>118</v>
      </c>
      <c r="F10" s="37">
        <f>E10/B10</f>
        <v>0.2669683257918552</v>
      </c>
      <c r="G10" s="26">
        <v>116</v>
      </c>
      <c r="H10" s="37">
        <f>G10/B10</f>
        <v>0.26244343891402716</v>
      </c>
      <c r="I10" s="26">
        <v>120</v>
      </c>
      <c r="J10" s="37">
        <f>I10/B10</f>
        <v>0.27149321266968324</v>
      </c>
      <c r="K10" s="26">
        <v>595</v>
      </c>
      <c r="L10" s="53">
        <v>148</v>
      </c>
      <c r="M10" s="54">
        <f>L10/K10</f>
        <v>0.24873949579831933</v>
      </c>
      <c r="N10" s="53">
        <v>148</v>
      </c>
      <c r="O10" s="54">
        <f>N10/K10</f>
        <v>0.24873949579831933</v>
      </c>
      <c r="P10" s="26">
        <v>145</v>
      </c>
      <c r="Q10" s="37">
        <f>P10/K10</f>
        <v>0.24369747899159663</v>
      </c>
      <c r="R10" s="53">
        <v>111</v>
      </c>
      <c r="S10" s="54">
        <f t="shared" ref="S10:S21" si="0">R10/K10</f>
        <v>0.1865546218487395</v>
      </c>
      <c r="T10" s="26">
        <v>154</v>
      </c>
      <c r="U10" s="37">
        <f>T10/K10</f>
        <v>0.25882352941176473</v>
      </c>
      <c r="V10" s="26">
        <v>734</v>
      </c>
      <c r="W10" s="26">
        <v>200</v>
      </c>
      <c r="X10" s="37">
        <f>W10/V10</f>
        <v>0.27247956403269757</v>
      </c>
      <c r="Y10" s="26">
        <v>194</v>
      </c>
      <c r="Z10" s="37">
        <f>Y10/V10</f>
        <v>0.26430517711171664</v>
      </c>
    </row>
    <row r="11" spans="1:26" x14ac:dyDescent="0.35">
      <c r="A11" s="7" t="s">
        <v>24</v>
      </c>
      <c r="B11" s="9">
        <v>635</v>
      </c>
      <c r="C11" s="26">
        <v>189</v>
      </c>
      <c r="D11" s="37">
        <f t="shared" ref="D11:D21" si="1">C11/B11</f>
        <v>0.29763779527559053</v>
      </c>
      <c r="E11" s="53">
        <v>187</v>
      </c>
      <c r="F11" s="54">
        <f t="shared" ref="F11:F21" si="2">E11/B11</f>
        <v>0.29448818897637796</v>
      </c>
      <c r="G11" s="26">
        <v>189</v>
      </c>
      <c r="H11" s="37">
        <f t="shared" ref="H11:H21" si="3">G11/B11</f>
        <v>0.29763779527559053</v>
      </c>
      <c r="I11" s="53">
        <v>185</v>
      </c>
      <c r="J11" s="54">
        <f t="shared" ref="J11:J21" si="4">I11/B11</f>
        <v>0.29133858267716534</v>
      </c>
      <c r="K11" s="26">
        <v>711</v>
      </c>
      <c r="L11" s="53">
        <v>205</v>
      </c>
      <c r="M11" s="54">
        <f t="shared" ref="M11:M21" si="5">L11/K11</f>
        <v>0.28832630098452883</v>
      </c>
      <c r="N11" s="53">
        <v>212</v>
      </c>
      <c r="O11" s="54">
        <f t="shared" ref="O11:O21" si="6">N11/K11</f>
        <v>0.29817158931082982</v>
      </c>
      <c r="P11" s="26">
        <v>165</v>
      </c>
      <c r="Q11" s="37">
        <f t="shared" ref="Q11:Q21" si="7">P11/K11</f>
        <v>0.2320675105485232</v>
      </c>
      <c r="R11" s="53">
        <v>130</v>
      </c>
      <c r="S11" s="54">
        <f t="shared" si="0"/>
        <v>0.18284106891701829</v>
      </c>
      <c r="T11" s="26">
        <v>188</v>
      </c>
      <c r="U11" s="37">
        <f t="shared" ref="U11:U21" si="8">T11/K11</f>
        <v>0.26441631504922647</v>
      </c>
      <c r="V11" s="26">
        <v>806</v>
      </c>
      <c r="W11" s="26">
        <v>224</v>
      </c>
      <c r="X11" s="37">
        <f t="shared" ref="X11:X21" si="9">W11/V11</f>
        <v>0.27791563275434245</v>
      </c>
      <c r="Y11" s="26">
        <v>219</v>
      </c>
      <c r="Z11" s="37">
        <f t="shared" ref="Z11:Z21" si="10">Y11/V11</f>
        <v>0.27171215880893301</v>
      </c>
    </row>
    <row r="12" spans="1:26" x14ac:dyDescent="0.35">
      <c r="A12" s="7" t="s">
        <v>25</v>
      </c>
      <c r="B12" s="9">
        <v>130</v>
      </c>
      <c r="C12" s="53">
        <v>38</v>
      </c>
      <c r="D12" s="54">
        <f t="shared" si="1"/>
        <v>0.29230769230769232</v>
      </c>
      <c r="E12" s="26">
        <v>33</v>
      </c>
      <c r="F12" s="37">
        <f t="shared" si="2"/>
        <v>0.25384615384615383</v>
      </c>
      <c r="G12" s="53">
        <v>38</v>
      </c>
      <c r="H12" s="54">
        <f t="shared" si="3"/>
        <v>0.29230769230769232</v>
      </c>
      <c r="I12" s="26">
        <v>34</v>
      </c>
      <c r="J12" s="37">
        <f t="shared" si="4"/>
        <v>0.26153846153846155</v>
      </c>
      <c r="K12" s="26">
        <v>161</v>
      </c>
      <c r="L12" s="53">
        <v>46</v>
      </c>
      <c r="M12" s="54">
        <f t="shared" si="5"/>
        <v>0.2857142857142857</v>
      </c>
      <c r="N12" s="53">
        <v>47</v>
      </c>
      <c r="O12" s="54">
        <f t="shared" si="6"/>
        <v>0.29192546583850931</v>
      </c>
      <c r="P12" s="26">
        <v>45</v>
      </c>
      <c r="Q12" s="37">
        <f t="shared" si="7"/>
        <v>0.27950310559006208</v>
      </c>
      <c r="R12" s="53">
        <v>29</v>
      </c>
      <c r="S12" s="54">
        <f t="shared" si="0"/>
        <v>0.18012422360248448</v>
      </c>
      <c r="T12" s="26">
        <v>46</v>
      </c>
      <c r="U12" s="37">
        <f t="shared" si="8"/>
        <v>0.2857142857142857</v>
      </c>
      <c r="V12" s="26">
        <v>221</v>
      </c>
      <c r="W12" s="26">
        <v>71</v>
      </c>
      <c r="X12" s="37">
        <f t="shared" si="9"/>
        <v>0.32126696832579188</v>
      </c>
      <c r="Y12" s="53">
        <v>70</v>
      </c>
      <c r="Z12" s="54">
        <f t="shared" si="10"/>
        <v>0.31674208144796379</v>
      </c>
    </row>
    <row r="13" spans="1:26" x14ac:dyDescent="0.35">
      <c r="A13" s="7" t="s">
        <v>26</v>
      </c>
      <c r="B13" s="9">
        <v>402</v>
      </c>
      <c r="C13" s="26">
        <v>144</v>
      </c>
      <c r="D13" s="37">
        <f t="shared" si="1"/>
        <v>0.35820895522388058</v>
      </c>
      <c r="E13" s="26">
        <v>129</v>
      </c>
      <c r="F13" s="37">
        <f t="shared" si="2"/>
        <v>0.32089552238805968</v>
      </c>
      <c r="G13" s="26">
        <v>145</v>
      </c>
      <c r="H13" s="37">
        <f t="shared" si="3"/>
        <v>0.36069651741293535</v>
      </c>
      <c r="I13" s="26">
        <v>129</v>
      </c>
      <c r="J13" s="37">
        <f t="shared" si="4"/>
        <v>0.32089552238805968</v>
      </c>
      <c r="K13" s="26">
        <v>489</v>
      </c>
      <c r="L13" s="26">
        <v>146</v>
      </c>
      <c r="M13" s="37">
        <f t="shared" si="5"/>
        <v>0.29856850715746419</v>
      </c>
      <c r="N13" s="26">
        <v>152</v>
      </c>
      <c r="O13" s="37">
        <f t="shared" si="6"/>
        <v>0.31083844580777098</v>
      </c>
      <c r="P13" s="26">
        <v>118</v>
      </c>
      <c r="Q13" s="37">
        <f t="shared" si="7"/>
        <v>0.24130879345603273</v>
      </c>
      <c r="R13" s="53">
        <v>94</v>
      </c>
      <c r="S13" s="54">
        <f t="shared" si="0"/>
        <v>0.19222903885480572</v>
      </c>
      <c r="T13" s="26">
        <v>116</v>
      </c>
      <c r="U13" s="37">
        <f t="shared" si="8"/>
        <v>0.23721881390593047</v>
      </c>
      <c r="V13" s="26">
        <v>676</v>
      </c>
      <c r="W13" s="26">
        <v>171</v>
      </c>
      <c r="X13" s="37">
        <f t="shared" si="9"/>
        <v>0.25295857988165682</v>
      </c>
      <c r="Y13" s="26">
        <v>174</v>
      </c>
      <c r="Z13" s="37">
        <f t="shared" si="10"/>
        <v>0.25739644970414199</v>
      </c>
    </row>
    <row r="14" spans="1:26" x14ac:dyDescent="0.35">
      <c r="A14" s="7" t="s">
        <v>28</v>
      </c>
      <c r="B14" s="9">
        <v>132</v>
      </c>
      <c r="C14" s="53">
        <v>61</v>
      </c>
      <c r="D14" s="54">
        <f t="shared" si="1"/>
        <v>0.4621212121212121</v>
      </c>
      <c r="E14" s="53">
        <v>56</v>
      </c>
      <c r="F14" s="54">
        <f t="shared" si="2"/>
        <v>0.42424242424242425</v>
      </c>
      <c r="G14" s="26">
        <v>61</v>
      </c>
      <c r="H14" s="37">
        <f t="shared" si="3"/>
        <v>0.4621212121212121</v>
      </c>
      <c r="I14" s="53">
        <v>56</v>
      </c>
      <c r="J14" s="54">
        <f t="shared" si="4"/>
        <v>0.42424242424242425</v>
      </c>
      <c r="K14" s="26">
        <v>167</v>
      </c>
      <c r="L14" s="53">
        <v>46</v>
      </c>
      <c r="M14" s="54">
        <f t="shared" si="5"/>
        <v>0.27544910179640719</v>
      </c>
      <c r="N14" s="53">
        <v>46</v>
      </c>
      <c r="O14" s="54">
        <f t="shared" si="6"/>
        <v>0.27544910179640719</v>
      </c>
      <c r="P14" s="53">
        <v>33</v>
      </c>
      <c r="Q14" s="54">
        <f t="shared" si="7"/>
        <v>0.19760479041916168</v>
      </c>
      <c r="R14" s="53">
        <v>18</v>
      </c>
      <c r="S14" s="54">
        <f t="shared" si="0"/>
        <v>0.10778443113772455</v>
      </c>
      <c r="T14" s="53">
        <v>36</v>
      </c>
      <c r="U14" s="54">
        <f t="shared" si="8"/>
        <v>0.21556886227544911</v>
      </c>
      <c r="V14" s="26">
        <v>255</v>
      </c>
      <c r="W14" s="53">
        <v>88</v>
      </c>
      <c r="X14" s="54">
        <f t="shared" si="9"/>
        <v>0.34509803921568627</v>
      </c>
      <c r="Y14" s="53">
        <v>87</v>
      </c>
      <c r="Z14" s="54">
        <f t="shared" si="10"/>
        <v>0.3411764705882353</v>
      </c>
    </row>
    <row r="15" spans="1:26" x14ac:dyDescent="0.35">
      <c r="A15" s="7" t="s">
        <v>29</v>
      </c>
      <c r="B15" s="9">
        <v>945</v>
      </c>
      <c r="C15" s="26">
        <v>311</v>
      </c>
      <c r="D15" s="37">
        <f t="shared" si="1"/>
        <v>0.32910052910052912</v>
      </c>
      <c r="E15" s="26">
        <v>322</v>
      </c>
      <c r="F15" s="37">
        <f t="shared" si="2"/>
        <v>0.34074074074074073</v>
      </c>
      <c r="G15" s="26">
        <v>312</v>
      </c>
      <c r="H15" s="37">
        <f t="shared" si="3"/>
        <v>0.33015873015873015</v>
      </c>
      <c r="I15" s="26">
        <v>328</v>
      </c>
      <c r="J15" s="37">
        <f t="shared" si="4"/>
        <v>0.34708994708994712</v>
      </c>
      <c r="K15" s="26">
        <v>1174</v>
      </c>
      <c r="L15" s="26">
        <v>352</v>
      </c>
      <c r="M15" s="37">
        <f t="shared" si="5"/>
        <v>0.29982964224872233</v>
      </c>
      <c r="N15" s="26">
        <v>356</v>
      </c>
      <c r="O15" s="37">
        <f t="shared" si="6"/>
        <v>0.30323679727427599</v>
      </c>
      <c r="P15" s="53">
        <v>308</v>
      </c>
      <c r="Q15" s="54">
        <f t="shared" si="7"/>
        <v>0.26235093696763201</v>
      </c>
      <c r="R15" s="53">
        <v>189</v>
      </c>
      <c r="S15" s="54">
        <f t="shared" si="0"/>
        <v>0.16098807495741055</v>
      </c>
      <c r="T15" s="53">
        <v>324</v>
      </c>
      <c r="U15" s="54">
        <f t="shared" si="8"/>
        <v>0.27597955706984667</v>
      </c>
      <c r="V15" s="26">
        <v>1562</v>
      </c>
      <c r="W15" s="26">
        <v>506</v>
      </c>
      <c r="X15" s="37">
        <f t="shared" si="9"/>
        <v>0.323943661971831</v>
      </c>
      <c r="Y15" s="26">
        <v>495</v>
      </c>
      <c r="Z15" s="37">
        <f t="shared" si="10"/>
        <v>0.31690140845070425</v>
      </c>
    </row>
    <row r="16" spans="1:26" x14ac:dyDescent="0.35">
      <c r="A16" s="7" t="s">
        <v>34</v>
      </c>
      <c r="B16" s="9">
        <v>321</v>
      </c>
      <c r="C16" s="53">
        <v>54</v>
      </c>
      <c r="D16" s="54">
        <f t="shared" si="1"/>
        <v>0.16822429906542055</v>
      </c>
      <c r="E16" s="53">
        <v>62</v>
      </c>
      <c r="F16" s="54">
        <f t="shared" si="2"/>
        <v>0.19314641744548286</v>
      </c>
      <c r="G16" s="53">
        <v>55</v>
      </c>
      <c r="H16" s="54">
        <f t="shared" si="3"/>
        <v>0.17133956386292834</v>
      </c>
      <c r="I16" s="53">
        <v>62</v>
      </c>
      <c r="J16" s="54">
        <f t="shared" si="4"/>
        <v>0.19314641744548286</v>
      </c>
      <c r="K16" s="26">
        <v>327</v>
      </c>
      <c r="L16" s="53">
        <v>65</v>
      </c>
      <c r="M16" s="54">
        <f t="shared" si="5"/>
        <v>0.19877675840978593</v>
      </c>
      <c r="N16" s="53">
        <v>66</v>
      </c>
      <c r="O16" s="54">
        <f t="shared" si="6"/>
        <v>0.20183486238532111</v>
      </c>
      <c r="P16" s="53">
        <v>34</v>
      </c>
      <c r="Q16" s="54">
        <f t="shared" si="7"/>
        <v>0.10397553516819572</v>
      </c>
      <c r="R16" s="53">
        <v>32</v>
      </c>
      <c r="S16" s="54">
        <f t="shared" si="0"/>
        <v>9.7859327217125383E-2</v>
      </c>
      <c r="T16" s="53">
        <v>47</v>
      </c>
      <c r="U16" s="54">
        <f t="shared" si="8"/>
        <v>0.14373088685015289</v>
      </c>
      <c r="V16" s="26">
        <v>436</v>
      </c>
      <c r="W16" s="53">
        <v>53</v>
      </c>
      <c r="X16" s="54">
        <f t="shared" si="9"/>
        <v>0.12155963302752294</v>
      </c>
      <c r="Y16" s="53">
        <v>55</v>
      </c>
      <c r="Z16" s="54">
        <f t="shared" si="10"/>
        <v>0.12614678899082568</v>
      </c>
    </row>
    <row r="17" spans="1:26" x14ac:dyDescent="0.35">
      <c r="A17" s="13" t="s">
        <v>27</v>
      </c>
      <c r="B17" s="29">
        <v>1222</v>
      </c>
      <c r="C17" s="53">
        <f>SUM(C19:C20)</f>
        <v>378</v>
      </c>
      <c r="D17" s="54">
        <f t="shared" si="1"/>
        <v>0.30932896890343697</v>
      </c>
      <c r="E17" s="27">
        <f>SUM(E19:E20)</f>
        <v>389</v>
      </c>
      <c r="F17" s="37">
        <f t="shared" si="2"/>
        <v>0.31833060556464809</v>
      </c>
      <c r="G17" s="53">
        <f>SUM(G19:G20)</f>
        <v>376</v>
      </c>
      <c r="H17" s="54">
        <f t="shared" si="3"/>
        <v>0.30769230769230771</v>
      </c>
      <c r="I17" s="27">
        <f>SUM(I19:I20)</f>
        <v>397</v>
      </c>
      <c r="J17" s="37">
        <f t="shared" si="4"/>
        <v>0.32487725040916532</v>
      </c>
      <c r="K17" s="27">
        <v>1482</v>
      </c>
      <c r="L17" s="27">
        <f ca="1">SUM(L19:L20)</f>
        <v>463</v>
      </c>
      <c r="M17" s="37">
        <f t="shared" ca="1" si="5"/>
        <v>0.31241565452091768</v>
      </c>
      <c r="N17" s="27">
        <f ca="1">SUM(N19:N20)</f>
        <v>474</v>
      </c>
      <c r="O17" s="37">
        <f t="shared" ca="1" si="6"/>
        <v>0.31983805668016196</v>
      </c>
      <c r="P17" s="27">
        <f ca="1">SUM(P19:P20)</f>
        <v>372</v>
      </c>
      <c r="Q17" s="37">
        <f t="shared" ca="1" si="7"/>
        <v>0.25101214574898784</v>
      </c>
      <c r="R17" s="53">
        <f ca="1">SUM(R19:R20)</f>
        <v>269</v>
      </c>
      <c r="S17" s="54">
        <f t="shared" ca="1" si="0"/>
        <v>0.18151147098515519</v>
      </c>
      <c r="T17" s="27">
        <f ca="1">SUM(T19:T20)</f>
        <v>428</v>
      </c>
      <c r="U17" s="37">
        <f t="shared" ca="1" si="8"/>
        <v>0.28879892037786775</v>
      </c>
      <c r="V17" s="27">
        <v>2023</v>
      </c>
      <c r="W17" s="27">
        <f>SUM(W19:W20)</f>
        <v>614</v>
      </c>
      <c r="X17" s="37">
        <f t="shared" si="9"/>
        <v>0.30350963914977758</v>
      </c>
      <c r="Y17" s="27">
        <f>SUM(Y19:Y20)</f>
        <v>613</v>
      </c>
      <c r="Z17" s="37">
        <f t="shared" si="10"/>
        <v>0.30301532377656948</v>
      </c>
    </row>
    <row r="18" spans="1:26" ht="14" customHeight="1" x14ac:dyDescent="0.35">
      <c r="A18" s="8" t="s">
        <v>30</v>
      </c>
      <c r="B18" s="30">
        <f>SUM(B10:B17)</f>
        <v>4229</v>
      </c>
      <c r="C18" s="28">
        <f>SUM(C10:C17)</f>
        <v>1291</v>
      </c>
      <c r="D18" s="37">
        <f t="shared" si="1"/>
        <v>0.30527311421139747</v>
      </c>
      <c r="E18" s="28">
        <f>SUM(E10:E17)</f>
        <v>1296</v>
      </c>
      <c r="F18" s="37">
        <f t="shared" si="2"/>
        <v>0.30645542681484983</v>
      </c>
      <c r="G18" s="28">
        <f>SUM(G10:G17)</f>
        <v>1292</v>
      </c>
      <c r="H18" s="37">
        <f t="shared" si="3"/>
        <v>0.30550957673208795</v>
      </c>
      <c r="I18" s="28">
        <f>SUM(I10:I17)</f>
        <v>1311</v>
      </c>
      <c r="J18" s="37">
        <f t="shared" si="4"/>
        <v>0.31000236462520692</v>
      </c>
      <c r="K18" s="28">
        <f>SUM(K10:K17)</f>
        <v>5106</v>
      </c>
      <c r="L18" s="28">
        <f ca="1">SUM(L10:L17)</f>
        <v>1471</v>
      </c>
      <c r="M18" s="37">
        <f t="shared" ca="1" si="5"/>
        <v>0.28809244026635333</v>
      </c>
      <c r="N18" s="28">
        <f ca="1">SUM(N10:N17)</f>
        <v>1501</v>
      </c>
      <c r="O18" s="37">
        <f t="shared" ca="1" si="6"/>
        <v>0.29396788092440268</v>
      </c>
      <c r="P18" s="28">
        <f ca="1">SUM(P10:P17)</f>
        <v>1220</v>
      </c>
      <c r="Q18" s="37">
        <f t="shared" ca="1" si="7"/>
        <v>0.23893458676067372</v>
      </c>
      <c r="R18" s="28">
        <f ca="1">SUM(R10:R17)</f>
        <v>872</v>
      </c>
      <c r="S18" s="37">
        <f t="shared" ca="1" si="0"/>
        <v>0.17077947512730121</v>
      </c>
      <c r="T18" s="28">
        <f ca="1">SUM(T10:T17)</f>
        <v>1339</v>
      </c>
      <c r="U18" s="37">
        <f t="shared" ca="1" si="8"/>
        <v>0.26224050137093613</v>
      </c>
      <c r="V18" s="28">
        <f>SUM(V10:V17)</f>
        <v>6713</v>
      </c>
      <c r="W18" s="28">
        <f>SUM(W10:W17)</f>
        <v>1927</v>
      </c>
      <c r="X18" s="37">
        <f t="shared" si="9"/>
        <v>0.2870549679725905</v>
      </c>
      <c r="Y18" s="28">
        <f>SUM(Y10:Y17)</f>
        <v>1907</v>
      </c>
      <c r="Z18" s="37">
        <f t="shared" si="10"/>
        <v>0.28407567406524653</v>
      </c>
    </row>
    <row r="19" spans="1:26" ht="18" hidden="1" customHeight="1" x14ac:dyDescent="0.35">
      <c r="A19" s="20"/>
      <c r="B19" s="22"/>
      <c r="C19" s="23">
        <v>346</v>
      </c>
      <c r="D19" s="37" t="e">
        <f t="shared" si="1"/>
        <v>#DIV/0!</v>
      </c>
      <c r="E19" s="20">
        <v>362</v>
      </c>
      <c r="F19" s="37" t="e">
        <f t="shared" si="2"/>
        <v>#DIV/0!</v>
      </c>
      <c r="G19" s="50">
        <v>344</v>
      </c>
      <c r="H19" s="37" t="e">
        <f t="shared" si="3"/>
        <v>#DIV/0!</v>
      </c>
      <c r="I19" s="15">
        <v>370</v>
      </c>
      <c r="J19" s="37" t="e">
        <f t="shared" si="4"/>
        <v>#DIV/0!</v>
      </c>
      <c r="K19" s="20"/>
      <c r="L19" s="28">
        <f t="shared" ref="L19:L20" ca="1" si="11">SUM(L11:L18)</f>
        <v>1471</v>
      </c>
      <c r="M19" s="37">
        <f t="shared" ca="1" si="5"/>
        <v>0.28809244026635333</v>
      </c>
      <c r="N19" s="28">
        <f t="shared" ref="N19:N20" ca="1" si="12">SUM(N11:N18)</f>
        <v>1501</v>
      </c>
      <c r="O19" s="37">
        <f t="shared" ca="1" si="6"/>
        <v>0.29396788092440268</v>
      </c>
      <c r="P19" s="28">
        <f t="shared" ref="P19:P20" ca="1" si="13">SUM(P11:P18)</f>
        <v>1220</v>
      </c>
      <c r="Q19" s="37">
        <f t="shared" ca="1" si="7"/>
        <v>0.23893458676067372</v>
      </c>
      <c r="R19" s="28">
        <f t="shared" ref="R19:R20" ca="1" si="14">SUM(R11:R18)</f>
        <v>872</v>
      </c>
      <c r="S19" s="37">
        <f t="shared" ca="1" si="0"/>
        <v>0.17077947512730121</v>
      </c>
      <c r="T19" s="28">
        <f t="shared" ref="T19:T20" ca="1" si="15">SUM(T11:T18)</f>
        <v>1339</v>
      </c>
      <c r="U19" s="37">
        <f t="shared" ca="1" si="8"/>
        <v>0.26224050137093613</v>
      </c>
      <c r="V19" s="20"/>
      <c r="W19" s="15">
        <v>558</v>
      </c>
      <c r="X19" s="37" t="e">
        <f t="shared" si="9"/>
        <v>#DIV/0!</v>
      </c>
      <c r="Y19" s="15">
        <v>557</v>
      </c>
      <c r="Z19" s="37" t="e">
        <f t="shared" si="10"/>
        <v>#DIV/0!</v>
      </c>
    </row>
    <row r="20" spans="1:26" ht="18.5" hidden="1" customHeight="1" x14ac:dyDescent="0.35">
      <c r="A20" s="20"/>
      <c r="B20" s="22"/>
      <c r="C20" s="48">
        <v>32</v>
      </c>
      <c r="D20" s="37" t="e">
        <f t="shared" si="1"/>
        <v>#DIV/0!</v>
      </c>
      <c r="E20" s="48">
        <v>27</v>
      </c>
      <c r="F20" s="37" t="e">
        <f t="shared" si="2"/>
        <v>#DIV/0!</v>
      </c>
      <c r="G20" s="48">
        <v>32</v>
      </c>
      <c r="H20" s="37" t="e">
        <f t="shared" si="3"/>
        <v>#DIV/0!</v>
      </c>
      <c r="I20" s="48">
        <v>27</v>
      </c>
      <c r="J20" s="37" t="e">
        <f t="shared" si="4"/>
        <v>#DIV/0!</v>
      </c>
      <c r="K20" s="20"/>
      <c r="L20" s="28">
        <f t="shared" ca="1" si="11"/>
        <v>1471</v>
      </c>
      <c r="M20" s="37">
        <f t="shared" ca="1" si="5"/>
        <v>0.28809244026635333</v>
      </c>
      <c r="N20" s="28">
        <f t="shared" ca="1" si="12"/>
        <v>1501</v>
      </c>
      <c r="O20" s="37">
        <f t="shared" ca="1" si="6"/>
        <v>0.29396788092440268</v>
      </c>
      <c r="P20" s="28">
        <f t="shared" ca="1" si="13"/>
        <v>1220</v>
      </c>
      <c r="Q20" s="37">
        <f t="shared" ca="1" si="7"/>
        <v>0.23893458676067372</v>
      </c>
      <c r="R20" s="28">
        <f t="shared" ca="1" si="14"/>
        <v>872</v>
      </c>
      <c r="S20" s="37">
        <f t="shared" ca="1" si="0"/>
        <v>0.17077947512730121</v>
      </c>
      <c r="T20" s="28">
        <f t="shared" ca="1" si="15"/>
        <v>1339</v>
      </c>
      <c r="U20" s="37">
        <f t="shared" ca="1" si="8"/>
        <v>0.26224050137093613</v>
      </c>
      <c r="V20" s="20"/>
      <c r="W20" s="48">
        <v>56</v>
      </c>
      <c r="X20" s="37" t="e">
        <f t="shared" si="9"/>
        <v>#DIV/0!</v>
      </c>
      <c r="Y20" s="48">
        <v>56</v>
      </c>
      <c r="Z20" s="37" t="e">
        <f t="shared" si="10"/>
        <v>#DIV/0!</v>
      </c>
    </row>
    <row r="21" spans="1:26" ht="18.5" hidden="1" customHeight="1" x14ac:dyDescent="0.35">
      <c r="A21" s="20"/>
      <c r="B21" s="22">
        <v>4265</v>
      </c>
      <c r="C21" s="48">
        <v>1291</v>
      </c>
      <c r="D21" s="37">
        <f t="shared" si="1"/>
        <v>0.30269636576787806</v>
      </c>
      <c r="E21" s="48">
        <v>1296</v>
      </c>
      <c r="F21" s="37">
        <f t="shared" si="2"/>
        <v>0.30386869871043376</v>
      </c>
      <c r="G21" s="48"/>
      <c r="H21" s="37">
        <f t="shared" si="3"/>
        <v>0</v>
      </c>
      <c r="I21" s="48"/>
      <c r="J21" s="37">
        <f t="shared" si="4"/>
        <v>0</v>
      </c>
      <c r="K21" s="20">
        <v>4310</v>
      </c>
      <c r="L21" s="20">
        <v>1471</v>
      </c>
      <c r="M21" s="37">
        <f t="shared" si="5"/>
        <v>0.34129930394431557</v>
      </c>
      <c r="N21" s="20">
        <v>1501</v>
      </c>
      <c r="O21" s="37">
        <f t="shared" si="6"/>
        <v>0.34825986078886312</v>
      </c>
      <c r="P21" s="23">
        <v>1220</v>
      </c>
      <c r="Q21" s="37">
        <f t="shared" si="7"/>
        <v>0.28306264501160094</v>
      </c>
      <c r="R21" s="20">
        <v>872</v>
      </c>
      <c r="S21" s="37">
        <f t="shared" si="0"/>
        <v>0.20232018561484919</v>
      </c>
      <c r="T21" s="20">
        <v>1339</v>
      </c>
      <c r="U21" s="37">
        <f t="shared" si="8"/>
        <v>0.31067285382830628</v>
      </c>
      <c r="V21" s="20">
        <v>6095</v>
      </c>
      <c r="W21" s="48">
        <v>1927</v>
      </c>
      <c r="X21" s="37">
        <f t="shared" si="9"/>
        <v>0.31616078753076293</v>
      </c>
      <c r="Y21" s="48">
        <v>1907</v>
      </c>
      <c r="Z21" s="37">
        <f t="shared" si="10"/>
        <v>0.31287940935192782</v>
      </c>
    </row>
    <row r="22" spans="1:26" x14ac:dyDescent="0.35">
      <c r="A22" s="78" t="s">
        <v>38</v>
      </c>
      <c r="B22" s="78"/>
      <c r="C22" s="78"/>
      <c r="D22" s="78"/>
      <c r="E22" s="78"/>
      <c r="F22" s="78"/>
      <c r="G22" s="78"/>
      <c r="H22" s="78"/>
      <c r="I22" s="78"/>
      <c r="J22" s="78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x14ac:dyDescent="0.35">
      <c r="A23" s="78" t="s">
        <v>46</v>
      </c>
      <c r="B23" s="78"/>
      <c r="C23" s="78"/>
      <c r="D23" s="78"/>
      <c r="E23" s="78"/>
      <c r="F23" s="78"/>
      <c r="G23" s="78"/>
      <c r="H23" s="78"/>
      <c r="I23" s="78"/>
      <c r="J23" s="78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s="32" customFormat="1" x14ac:dyDescent="0.35">
      <c r="B24" s="33"/>
    </row>
    <row r="25" spans="1:26" ht="14.5" customHeight="1" x14ac:dyDescent="0.35">
      <c r="A25" s="86" t="s">
        <v>36</v>
      </c>
      <c r="B25" s="68" t="s">
        <v>3</v>
      </c>
      <c r="C25" s="74"/>
      <c r="D25" s="69"/>
      <c r="E25" s="65" t="s">
        <v>4</v>
      </c>
      <c r="F25" s="66"/>
      <c r="G25" s="66"/>
      <c r="H25" s="66"/>
      <c r="I25" s="66"/>
      <c r="J25" s="67"/>
      <c r="K25" s="79" t="s">
        <v>5</v>
      </c>
      <c r="L25" s="85"/>
      <c r="M25" s="85"/>
      <c r="N25" s="85"/>
      <c r="O25" s="85"/>
      <c r="P25" s="80"/>
      <c r="Q25" s="32"/>
      <c r="R25" s="96" t="s">
        <v>43</v>
      </c>
      <c r="S25" s="96"/>
      <c r="T25" s="96"/>
      <c r="U25" s="32"/>
      <c r="V25" s="32"/>
      <c r="W25" s="32"/>
      <c r="X25" s="32"/>
    </row>
    <row r="26" spans="1:26" ht="14.5" customHeight="1" x14ac:dyDescent="0.35">
      <c r="A26" s="87"/>
      <c r="B26" s="75" t="s">
        <v>22</v>
      </c>
      <c r="C26" s="68" t="s">
        <v>6</v>
      </c>
      <c r="D26" s="69"/>
      <c r="E26" s="63" t="s">
        <v>22</v>
      </c>
      <c r="F26" s="65" t="s">
        <v>31</v>
      </c>
      <c r="G26" s="67"/>
      <c r="H26" s="63" t="s">
        <v>22</v>
      </c>
      <c r="I26" s="65" t="s">
        <v>32</v>
      </c>
      <c r="J26" s="67"/>
      <c r="K26" s="61" t="s">
        <v>22</v>
      </c>
      <c r="L26" s="79" t="s">
        <v>8</v>
      </c>
      <c r="M26" s="80"/>
      <c r="N26" s="83" t="s">
        <v>22</v>
      </c>
      <c r="O26" s="79" t="s">
        <v>15</v>
      </c>
      <c r="P26" s="80"/>
      <c r="Q26" s="32"/>
      <c r="R26" s="96"/>
      <c r="S26" s="96"/>
      <c r="T26" s="96"/>
      <c r="U26" s="32"/>
      <c r="V26" s="32"/>
      <c r="W26" s="32"/>
      <c r="X26" s="32"/>
    </row>
    <row r="27" spans="1:26" x14ac:dyDescent="0.35">
      <c r="A27" s="88"/>
      <c r="B27" s="76"/>
      <c r="C27" s="4" t="s">
        <v>19</v>
      </c>
      <c r="D27" s="4" t="s">
        <v>33</v>
      </c>
      <c r="E27" s="64"/>
      <c r="F27" s="5" t="s">
        <v>19</v>
      </c>
      <c r="G27" s="5" t="s">
        <v>33</v>
      </c>
      <c r="H27" s="64"/>
      <c r="I27" s="5" t="s">
        <v>19</v>
      </c>
      <c r="J27" s="5" t="s">
        <v>33</v>
      </c>
      <c r="K27" s="62"/>
      <c r="L27" s="6" t="s">
        <v>19</v>
      </c>
      <c r="M27" s="6" t="s">
        <v>33</v>
      </c>
      <c r="N27" s="84"/>
      <c r="O27" s="6" t="s">
        <v>19</v>
      </c>
      <c r="P27" s="6" t="s">
        <v>33</v>
      </c>
      <c r="Q27" s="32"/>
      <c r="R27" s="32"/>
      <c r="S27" s="32"/>
      <c r="T27" s="32"/>
      <c r="U27" s="32"/>
      <c r="V27" s="32"/>
      <c r="W27" s="32"/>
      <c r="X27" s="32"/>
    </row>
    <row r="28" spans="1:26" ht="16.5" customHeight="1" x14ac:dyDescent="0.35">
      <c r="A28" s="47" t="s">
        <v>23</v>
      </c>
      <c r="B28" s="9">
        <v>338</v>
      </c>
      <c r="C28" s="9">
        <v>120</v>
      </c>
      <c r="D28" s="37">
        <f>C28/B28</f>
        <v>0.35502958579881655</v>
      </c>
      <c r="E28" s="9">
        <v>825</v>
      </c>
      <c r="F28" s="9">
        <v>140</v>
      </c>
      <c r="G28" s="37">
        <f>F28/E28</f>
        <v>0.16969696969696971</v>
      </c>
      <c r="H28" s="9">
        <v>546</v>
      </c>
      <c r="I28" s="55">
        <v>236</v>
      </c>
      <c r="J28" s="54">
        <f>I28/H28</f>
        <v>0.43223443223443225</v>
      </c>
      <c r="K28" s="9">
        <v>827</v>
      </c>
      <c r="L28" s="55">
        <v>149</v>
      </c>
      <c r="M28" s="54">
        <f>L28/K28</f>
        <v>0.18016928657799275</v>
      </c>
      <c r="N28" s="9">
        <v>1652</v>
      </c>
      <c r="O28" s="9">
        <v>862</v>
      </c>
      <c r="P28" s="37">
        <f>O28/N28</f>
        <v>0.52179176755447942</v>
      </c>
      <c r="Q28" s="32"/>
      <c r="R28" s="38"/>
      <c r="S28" s="39" t="s">
        <v>40</v>
      </c>
      <c r="T28" s="32"/>
      <c r="U28" s="32"/>
      <c r="V28" s="32"/>
      <c r="W28" s="32"/>
      <c r="X28" s="32"/>
    </row>
    <row r="29" spans="1:26" ht="15" customHeight="1" x14ac:dyDescent="0.4">
      <c r="A29" s="47" t="s">
        <v>24</v>
      </c>
      <c r="B29" s="9">
        <v>587</v>
      </c>
      <c r="C29" s="9">
        <v>185</v>
      </c>
      <c r="D29" s="37">
        <f t="shared" ref="D29:D34" si="16">C29/B29</f>
        <v>0.31516183986371382</v>
      </c>
      <c r="E29" s="9">
        <v>1062</v>
      </c>
      <c r="F29" s="9">
        <v>156</v>
      </c>
      <c r="G29" s="37">
        <f t="shared" ref="G29:G34" si="17">F29/E29</f>
        <v>0.14689265536723164</v>
      </c>
      <c r="H29" s="9">
        <v>735</v>
      </c>
      <c r="I29" s="9">
        <v>230</v>
      </c>
      <c r="J29" s="37">
        <f t="shared" ref="J29:J37" si="18">I29/H29</f>
        <v>0.31292517006802723</v>
      </c>
      <c r="K29" s="9">
        <v>1189</v>
      </c>
      <c r="L29" s="9">
        <v>115</v>
      </c>
      <c r="M29" s="37">
        <f t="shared" ref="M29:M37" si="19">L29/K29</f>
        <v>9.6719932716568549E-2</v>
      </c>
      <c r="N29" s="9">
        <v>2384</v>
      </c>
      <c r="O29" s="9">
        <v>875</v>
      </c>
      <c r="P29" s="37">
        <f t="shared" ref="P29:P34" si="20">O29/N29</f>
        <v>0.36703020134228187</v>
      </c>
      <c r="Q29" s="32"/>
      <c r="R29" s="40"/>
      <c r="S29" s="41" t="s">
        <v>41</v>
      </c>
      <c r="T29" s="32"/>
      <c r="U29" s="32"/>
      <c r="V29" s="32"/>
      <c r="W29" s="32"/>
      <c r="X29" s="32"/>
    </row>
    <row r="30" spans="1:26" ht="16.5" customHeight="1" x14ac:dyDescent="0.4">
      <c r="A30" s="47" t="s">
        <v>25</v>
      </c>
      <c r="B30" s="9">
        <v>83</v>
      </c>
      <c r="C30" s="9">
        <v>33</v>
      </c>
      <c r="D30" s="37">
        <f t="shared" si="16"/>
        <v>0.39759036144578314</v>
      </c>
      <c r="E30" s="9">
        <v>251</v>
      </c>
      <c r="F30" s="9">
        <v>47</v>
      </c>
      <c r="G30" s="37">
        <f t="shared" si="17"/>
        <v>0.18725099601593626</v>
      </c>
      <c r="H30" s="9">
        <v>184</v>
      </c>
      <c r="I30" s="9">
        <v>101</v>
      </c>
      <c r="J30" s="37">
        <f t="shared" si="18"/>
        <v>0.54891304347826086</v>
      </c>
      <c r="K30" s="9">
        <v>537</v>
      </c>
      <c r="L30" s="9">
        <v>50</v>
      </c>
      <c r="M30" s="37">
        <f t="shared" si="19"/>
        <v>9.3109869646182494E-2</v>
      </c>
      <c r="N30" s="9">
        <v>1074</v>
      </c>
      <c r="O30" s="9">
        <v>811</v>
      </c>
      <c r="P30" s="37">
        <f t="shared" si="20"/>
        <v>0.75512104283054005</v>
      </c>
      <c r="Q30" s="32"/>
      <c r="R30" s="42"/>
      <c r="S30" s="41" t="s">
        <v>42</v>
      </c>
      <c r="T30" s="32"/>
      <c r="U30" s="32"/>
      <c r="V30" s="32"/>
      <c r="W30" s="32"/>
      <c r="X30" s="32"/>
    </row>
    <row r="31" spans="1:26" x14ac:dyDescent="0.35">
      <c r="A31" s="7" t="s">
        <v>26</v>
      </c>
      <c r="B31" s="9">
        <v>321</v>
      </c>
      <c r="C31" s="55">
        <v>108</v>
      </c>
      <c r="D31" s="54">
        <f t="shared" si="16"/>
        <v>0.3364485981308411</v>
      </c>
      <c r="E31" s="9">
        <v>682</v>
      </c>
      <c r="F31" s="55">
        <v>75</v>
      </c>
      <c r="G31" s="54">
        <f t="shared" si="17"/>
        <v>0.10997067448680352</v>
      </c>
      <c r="H31" s="9">
        <v>476</v>
      </c>
      <c r="I31" s="55">
        <v>150</v>
      </c>
      <c r="J31" s="54">
        <f t="shared" si="18"/>
        <v>0.31512605042016806</v>
      </c>
      <c r="K31" s="9">
        <v>1076</v>
      </c>
      <c r="L31" s="55">
        <v>170</v>
      </c>
      <c r="M31" s="54">
        <f t="shared" si="19"/>
        <v>0.15799256505576209</v>
      </c>
      <c r="N31" s="9">
        <v>2145</v>
      </c>
      <c r="O31" s="9">
        <v>1276</v>
      </c>
      <c r="P31" s="37">
        <f t="shared" si="20"/>
        <v>0.59487179487179487</v>
      </c>
      <c r="Q31" s="32"/>
      <c r="R31" s="32"/>
      <c r="S31" s="32"/>
      <c r="T31" s="32"/>
      <c r="U31" s="32"/>
      <c r="V31" s="32"/>
      <c r="W31" s="32"/>
      <c r="X31" s="32"/>
    </row>
    <row r="32" spans="1:26" hidden="1" x14ac:dyDescent="0.35">
      <c r="B32" s="34"/>
      <c r="C32" s="55"/>
      <c r="D32" s="54" t="e">
        <f t="shared" si="16"/>
        <v>#DIV/0!</v>
      </c>
      <c r="E32" s="34"/>
      <c r="F32" s="34"/>
      <c r="G32" s="37" t="e">
        <f t="shared" si="17"/>
        <v>#DIV/0!</v>
      </c>
      <c r="H32" s="34"/>
      <c r="I32" s="34"/>
      <c r="J32" s="37" t="e">
        <f t="shared" si="18"/>
        <v>#DIV/0!</v>
      </c>
      <c r="K32" s="34"/>
      <c r="L32" s="55"/>
      <c r="M32" s="54" t="e">
        <f t="shared" si="19"/>
        <v>#DIV/0!</v>
      </c>
      <c r="N32" s="34"/>
      <c r="O32" s="34"/>
      <c r="P32" s="37" t="e">
        <f t="shared" si="20"/>
        <v>#DIV/0!</v>
      </c>
      <c r="Q32" s="32"/>
      <c r="R32" s="32"/>
      <c r="S32" s="32"/>
      <c r="T32" s="32"/>
      <c r="U32" s="32"/>
      <c r="V32" s="32"/>
      <c r="W32" s="32"/>
      <c r="X32" s="32"/>
    </row>
    <row r="33" spans="1:24" x14ac:dyDescent="0.35">
      <c r="A33" s="7" t="s">
        <v>28</v>
      </c>
      <c r="B33" s="9">
        <v>113</v>
      </c>
      <c r="C33" s="55">
        <v>41</v>
      </c>
      <c r="D33" s="54">
        <f t="shared" si="16"/>
        <v>0.36283185840707965</v>
      </c>
      <c r="E33" s="9">
        <v>269</v>
      </c>
      <c r="F33" s="9">
        <v>19</v>
      </c>
      <c r="G33" s="37">
        <f t="shared" si="17"/>
        <v>7.0631970260223054E-2</v>
      </c>
      <c r="H33" s="9">
        <v>241</v>
      </c>
      <c r="I33" s="55">
        <v>30</v>
      </c>
      <c r="J33" s="54">
        <f t="shared" si="18"/>
        <v>0.12448132780082988</v>
      </c>
      <c r="K33" s="9">
        <v>928</v>
      </c>
      <c r="L33" s="55">
        <v>37</v>
      </c>
      <c r="M33" s="54">
        <f t="shared" si="19"/>
        <v>3.9870689655172417E-2</v>
      </c>
      <c r="N33" s="9">
        <v>1858</v>
      </c>
      <c r="O33" s="9">
        <v>1194</v>
      </c>
      <c r="P33" s="37">
        <f t="shared" si="20"/>
        <v>0.64262648008611412</v>
      </c>
      <c r="Q33" s="32"/>
      <c r="R33" s="32"/>
      <c r="S33" s="32"/>
      <c r="T33" s="32"/>
      <c r="U33" s="32"/>
      <c r="V33" s="32"/>
      <c r="W33" s="32"/>
      <c r="X33" s="32"/>
    </row>
    <row r="34" spans="1:24" x14ac:dyDescent="0.35">
      <c r="A34" s="7" t="s">
        <v>29</v>
      </c>
      <c r="B34" s="9">
        <v>813</v>
      </c>
      <c r="C34" s="9">
        <v>278</v>
      </c>
      <c r="D34" s="37">
        <f t="shared" si="16"/>
        <v>0.34194341943419432</v>
      </c>
      <c r="E34" s="9">
        <v>1687</v>
      </c>
      <c r="F34" s="9">
        <v>281</v>
      </c>
      <c r="G34" s="37">
        <f t="shared" si="17"/>
        <v>0.16656787196206282</v>
      </c>
      <c r="H34" s="9">
        <v>1192</v>
      </c>
      <c r="I34" s="9">
        <v>348</v>
      </c>
      <c r="J34" s="37">
        <f t="shared" si="18"/>
        <v>0.29194630872483224</v>
      </c>
      <c r="K34" s="9">
        <v>1944</v>
      </c>
      <c r="L34" s="9">
        <v>323</v>
      </c>
      <c r="M34" s="37">
        <f t="shared" si="19"/>
        <v>0.1661522633744856</v>
      </c>
      <c r="N34" s="9">
        <v>3882</v>
      </c>
      <c r="O34" s="9">
        <v>2415</v>
      </c>
      <c r="P34" s="37">
        <f t="shared" si="20"/>
        <v>0.62210200927357029</v>
      </c>
      <c r="Q34" s="32"/>
      <c r="R34" s="32"/>
      <c r="S34" s="32"/>
      <c r="T34" s="32"/>
      <c r="U34" s="32"/>
      <c r="V34" s="32"/>
      <c r="W34" s="32"/>
      <c r="X34" s="32"/>
    </row>
    <row r="35" spans="1:24" x14ac:dyDescent="0.35">
      <c r="A35" s="7" t="s">
        <v>34</v>
      </c>
      <c r="B35" s="35"/>
      <c r="C35" s="9">
        <v>46</v>
      </c>
      <c r="D35" s="36"/>
      <c r="E35" s="35"/>
      <c r="F35" s="9">
        <v>15</v>
      </c>
      <c r="G35" s="36"/>
      <c r="H35" s="35"/>
      <c r="I35" s="9">
        <v>24</v>
      </c>
      <c r="J35" s="36"/>
      <c r="K35" s="35"/>
      <c r="L35" s="9">
        <v>34</v>
      </c>
      <c r="M35" s="36"/>
      <c r="N35" s="35"/>
      <c r="O35" s="9">
        <v>289</v>
      </c>
      <c r="P35" s="36"/>
      <c r="Q35" s="32"/>
      <c r="R35" s="32"/>
      <c r="S35" s="32"/>
      <c r="T35" s="32"/>
      <c r="U35" s="32"/>
      <c r="V35" s="32"/>
      <c r="W35" s="32"/>
      <c r="X35" s="32"/>
    </row>
    <row r="36" spans="1:24" x14ac:dyDescent="0.35">
      <c r="A36" s="13" t="s">
        <v>27</v>
      </c>
      <c r="B36" s="29">
        <v>1203</v>
      </c>
      <c r="C36" s="55">
        <f>SUM(C38:C39)</f>
        <v>430</v>
      </c>
      <c r="D36" s="54">
        <f>C36/B36</f>
        <v>0.35743973399833751</v>
      </c>
      <c r="E36" s="29">
        <v>2391</v>
      </c>
      <c r="F36" s="55">
        <f>SUM(F38:F39)</f>
        <v>184</v>
      </c>
      <c r="G36" s="54">
        <f>F36/E36</f>
        <v>7.6955248849853622E-2</v>
      </c>
      <c r="H36" s="29">
        <v>1650</v>
      </c>
      <c r="I36" s="29">
        <f>SUM(I38:I39)</f>
        <v>449</v>
      </c>
      <c r="J36" s="37">
        <f t="shared" si="18"/>
        <v>0.2721212121212121</v>
      </c>
      <c r="K36" s="29">
        <v>2538</v>
      </c>
      <c r="L36" s="29">
        <f>SUM(L38:L39)</f>
        <v>311</v>
      </c>
      <c r="M36" s="37">
        <f t="shared" si="19"/>
        <v>0.12253743104806934</v>
      </c>
      <c r="N36" s="29">
        <v>5073</v>
      </c>
      <c r="O36" s="29">
        <f>SUM(O38:O39)</f>
        <v>1964</v>
      </c>
      <c r="P36" s="37">
        <f t="shared" ref="P36:P37" si="21">O36/N36</f>
        <v>0.3871476443918786</v>
      </c>
      <c r="Q36" s="32"/>
      <c r="R36" s="32"/>
      <c r="S36" s="32"/>
      <c r="T36" s="32"/>
      <c r="U36" s="32"/>
      <c r="V36" s="32"/>
      <c r="W36" s="32"/>
      <c r="X36" s="32"/>
    </row>
    <row r="37" spans="1:24" x14ac:dyDescent="0.35">
      <c r="A37" s="8" t="s">
        <v>30</v>
      </c>
      <c r="B37" s="30">
        <f>SUM(B28:B36)</f>
        <v>3458</v>
      </c>
      <c r="C37" s="30">
        <f>SUM(C28:C36)</f>
        <v>1241</v>
      </c>
      <c r="D37" s="37">
        <f>C37/B37</f>
        <v>0.35887796414112205</v>
      </c>
      <c r="E37" s="30">
        <f>SUM(E28:E36)</f>
        <v>7167</v>
      </c>
      <c r="F37" s="30">
        <f>SUM(F28:F36)</f>
        <v>917</v>
      </c>
      <c r="G37" s="37">
        <f>F37/E37</f>
        <v>0.1279475373238454</v>
      </c>
      <c r="H37" s="30">
        <f>SUM(H28:H36)</f>
        <v>5024</v>
      </c>
      <c r="I37" s="30">
        <f>SUM(I28:I36)</f>
        <v>1568</v>
      </c>
      <c r="J37" s="37">
        <f t="shared" si="18"/>
        <v>0.31210191082802546</v>
      </c>
      <c r="K37" s="30">
        <f>SUM(K28:K36)</f>
        <v>9039</v>
      </c>
      <c r="L37" s="30">
        <f>SUM(L28:L36)</f>
        <v>1189</v>
      </c>
      <c r="M37" s="37">
        <f t="shared" si="19"/>
        <v>0.13154109967916805</v>
      </c>
      <c r="N37" s="30">
        <f>SUM(N28:N36)</f>
        <v>18068</v>
      </c>
      <c r="O37" s="30">
        <f>SUM(O28:O36)</f>
        <v>9686</v>
      </c>
      <c r="P37" s="37">
        <f t="shared" si="21"/>
        <v>0.53608589771972548</v>
      </c>
      <c r="Q37" s="32"/>
      <c r="R37" s="32"/>
      <c r="S37" s="32"/>
      <c r="T37" s="32"/>
      <c r="U37" s="32"/>
      <c r="V37" s="32"/>
      <c r="W37" s="32"/>
      <c r="X37" s="32"/>
    </row>
    <row r="38" spans="1:24" ht="19" hidden="1" customHeight="1" x14ac:dyDescent="0.35">
      <c r="B38" s="20"/>
      <c r="C38" s="15">
        <v>394</v>
      </c>
      <c r="D38" s="20"/>
      <c r="E38" s="20"/>
      <c r="F38" s="15">
        <v>172</v>
      </c>
      <c r="G38" s="20"/>
      <c r="H38" s="20"/>
      <c r="I38" s="15">
        <v>437</v>
      </c>
      <c r="J38" s="20"/>
      <c r="K38" s="20"/>
      <c r="L38" s="15">
        <v>298</v>
      </c>
      <c r="M38" s="20"/>
      <c r="N38" s="20"/>
      <c r="O38" s="15">
        <v>1959</v>
      </c>
      <c r="P38" s="20"/>
      <c r="Q38" s="32"/>
      <c r="R38" s="32"/>
      <c r="S38" s="32"/>
      <c r="T38" s="32"/>
      <c r="U38" s="32"/>
      <c r="V38" s="32"/>
      <c r="W38" s="32"/>
      <c r="X38" s="32"/>
    </row>
    <row r="39" spans="1:24" ht="17" hidden="1" customHeight="1" x14ac:dyDescent="0.35">
      <c r="B39" s="20"/>
      <c r="C39" s="49">
        <v>36</v>
      </c>
      <c r="D39" s="20"/>
      <c r="E39" s="20"/>
      <c r="F39" s="49">
        <v>12</v>
      </c>
      <c r="G39" s="20"/>
      <c r="H39" s="20"/>
      <c r="I39" s="49">
        <v>12</v>
      </c>
      <c r="J39" s="20"/>
      <c r="K39" s="20"/>
      <c r="L39" s="49">
        <v>13</v>
      </c>
      <c r="M39" s="20"/>
      <c r="N39" s="20"/>
      <c r="O39" s="49">
        <v>5</v>
      </c>
      <c r="P39" s="20"/>
      <c r="Q39" s="32"/>
      <c r="R39" s="32"/>
      <c r="S39" s="32"/>
      <c r="T39" s="32"/>
      <c r="U39" s="32"/>
      <c r="V39" s="32"/>
      <c r="W39" s="32"/>
      <c r="X39" s="32"/>
    </row>
    <row r="40" spans="1:24" x14ac:dyDescent="0.35">
      <c r="A40" s="78" t="s">
        <v>38</v>
      </c>
      <c r="B40" s="78"/>
      <c r="C40" s="78"/>
      <c r="D40" s="78"/>
      <c r="E40" s="78"/>
      <c r="F40" s="78"/>
      <c r="G40" s="78"/>
      <c r="H40" s="78"/>
      <c r="I40" s="78"/>
      <c r="J40" s="78"/>
      <c r="K40" s="25"/>
      <c r="L40" s="25"/>
      <c r="M40" s="25"/>
      <c r="N40" s="25"/>
      <c r="O40" s="25"/>
      <c r="P40" s="25"/>
      <c r="Q40" s="32"/>
      <c r="R40" s="32"/>
      <c r="S40" s="32"/>
      <c r="T40" s="32"/>
      <c r="U40" s="32"/>
      <c r="V40" s="32"/>
      <c r="W40" s="32"/>
      <c r="X40" s="32"/>
    </row>
    <row r="41" spans="1:24" x14ac:dyDescent="0.35">
      <c r="A41" s="78" t="s">
        <v>46</v>
      </c>
      <c r="B41" s="78"/>
      <c r="C41" s="78"/>
      <c r="D41" s="78"/>
      <c r="E41" s="78"/>
      <c r="F41" s="78"/>
      <c r="G41" s="78"/>
      <c r="H41" s="78"/>
      <c r="I41" s="78"/>
      <c r="J41" s="78"/>
      <c r="K41" s="25"/>
      <c r="L41" s="25"/>
      <c r="M41" s="25"/>
      <c r="N41" s="25"/>
      <c r="O41" s="25"/>
      <c r="P41" s="25"/>
      <c r="Q41" s="32"/>
      <c r="R41" s="32"/>
      <c r="S41" s="32"/>
      <c r="T41" s="32"/>
      <c r="U41" s="32"/>
      <c r="V41" s="32"/>
      <c r="W41" s="32"/>
      <c r="X41" s="32"/>
    </row>
    <row r="42" spans="1:24" x14ac:dyDescent="0.35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32"/>
      <c r="R42" s="32"/>
      <c r="S42" s="32"/>
      <c r="T42" s="32"/>
      <c r="U42" s="32"/>
      <c r="V42" s="32"/>
      <c r="W42" s="32"/>
      <c r="X42" s="32"/>
    </row>
    <row r="43" spans="1:24" x14ac:dyDescent="0.3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32"/>
      <c r="R43" s="32"/>
      <c r="S43" s="32"/>
      <c r="T43" s="32"/>
      <c r="U43" s="32"/>
      <c r="V43" s="32"/>
      <c r="W43" s="32"/>
      <c r="X43" s="32"/>
    </row>
    <row r="44" spans="1:24" x14ac:dyDescent="0.35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32"/>
      <c r="R44" s="32"/>
      <c r="S44" s="32"/>
      <c r="T44" s="32"/>
      <c r="U44" s="32"/>
      <c r="V44" s="32"/>
      <c r="W44" s="32"/>
      <c r="X44" s="32"/>
    </row>
    <row r="45" spans="1:24" x14ac:dyDescent="0.35">
      <c r="Q45" s="32"/>
      <c r="R45" s="32"/>
      <c r="S45" s="32"/>
      <c r="T45" s="32"/>
      <c r="U45" s="32"/>
      <c r="V45" s="32"/>
      <c r="W45" s="32"/>
      <c r="X45" s="32"/>
    </row>
  </sheetData>
  <mergeCells count="37">
    <mergeCell ref="E25:J25"/>
    <mergeCell ref="E1:Z6"/>
    <mergeCell ref="A7:A9"/>
    <mergeCell ref="B7:J7"/>
    <mergeCell ref="K7:Q7"/>
    <mergeCell ref="V7:Z7"/>
    <mergeCell ref="B8:B9"/>
    <mergeCell ref="C8:D8"/>
    <mergeCell ref="E8:F8"/>
    <mergeCell ref="G8:H8"/>
    <mergeCell ref="I8:J8"/>
    <mergeCell ref="W8:X8"/>
    <mergeCell ref="Y8:Z8"/>
    <mergeCell ref="V8:V9"/>
    <mergeCell ref="K25:P25"/>
    <mergeCell ref="R25:T26"/>
    <mergeCell ref="B26:B27"/>
    <mergeCell ref="K8:K9"/>
    <mergeCell ref="L8:M8"/>
    <mergeCell ref="N8:Q8"/>
    <mergeCell ref="R8:S8"/>
    <mergeCell ref="T8:U8"/>
    <mergeCell ref="L26:M26"/>
    <mergeCell ref="N26:N27"/>
    <mergeCell ref="O26:P26"/>
    <mergeCell ref="K26:K27"/>
    <mergeCell ref="A22:J22"/>
    <mergeCell ref="A23:J23"/>
    <mergeCell ref="A25:A27"/>
    <mergeCell ref="B25:D25"/>
    <mergeCell ref="A40:J40"/>
    <mergeCell ref="A41:J41"/>
    <mergeCell ref="C26:D26"/>
    <mergeCell ref="E26:E27"/>
    <mergeCell ref="F26:G26"/>
    <mergeCell ref="H26:H27"/>
    <mergeCell ref="I26:J26"/>
  </mergeCells>
  <conditionalFormatting sqref="B3">
    <cfRule type="iconSet" priority="1">
      <iconSet>
        <cfvo type="percent" val="0"/>
        <cfvo type="num" val="0.1333"/>
        <cfvo type="num" val="0.1583"/>
      </iconSet>
    </cfRule>
  </conditionalFormatting>
  <conditionalFormatting sqref="B4">
    <cfRule type="iconSet" priority="3">
      <iconSet>
        <cfvo type="percent" val="0"/>
        <cfvo type="num" val="0.1333"/>
        <cfvo type="num" val="0.1583"/>
      </iconSet>
    </cfRule>
  </conditionalFormatting>
  <conditionalFormatting sqref="C6 B3:B5">
    <cfRule type="iconSet" priority="2">
      <iconSet>
        <cfvo type="percent" val="0"/>
        <cfvo type="num" val="0.1333"/>
        <cfvo type="num" val="0.158"/>
      </iconSet>
    </cfRule>
  </conditionalFormatting>
  <conditionalFormatting sqref="C6 B5">
    <cfRule type="iconSet" priority="4">
      <iconSet>
        <cfvo type="percent" val="0"/>
        <cfvo type="num" val="0.1333"/>
        <cfvo type="num" val="0.1583"/>
      </iconSet>
    </cfRule>
  </conditionalFormatting>
  <conditionalFormatting sqref="D10:D21">
    <cfRule type="iconSet" priority="29">
      <iconSet>
        <cfvo type="percent" val="0"/>
        <cfvo type="num" val="0.33"/>
        <cfvo type="num" val="0.41499999999999998"/>
      </iconSet>
    </cfRule>
  </conditionalFormatting>
  <conditionalFormatting sqref="D28:D34">
    <cfRule type="iconSet" priority="18">
      <iconSet>
        <cfvo type="percent" val="0"/>
        <cfvo type="num" val="0.33"/>
        <cfvo type="num" val="0.41499999999999998"/>
      </iconSet>
    </cfRule>
  </conditionalFormatting>
  <conditionalFormatting sqref="D36:D37">
    <cfRule type="iconSet" priority="17">
      <iconSet>
        <cfvo type="percent" val="0"/>
        <cfvo type="num" val="0.33"/>
        <cfvo type="num" val="0.41499999999999998"/>
      </iconSet>
    </cfRule>
  </conditionalFormatting>
  <conditionalFormatting sqref="F10:F21">
    <cfRule type="iconSet" priority="28">
      <iconSet>
        <cfvo type="percent" val="0"/>
        <cfvo type="num" val="0.33"/>
        <cfvo type="num" val="0.41499999999999998"/>
      </iconSet>
    </cfRule>
  </conditionalFormatting>
  <conditionalFormatting sqref="G28:G34">
    <cfRule type="iconSet" priority="16">
      <iconSet>
        <cfvo type="percent" val="0"/>
        <cfvo type="num" val="0.33"/>
        <cfvo type="num" val="0.41499999999999998"/>
      </iconSet>
    </cfRule>
  </conditionalFormatting>
  <conditionalFormatting sqref="G36:G37">
    <cfRule type="iconSet" priority="12">
      <iconSet>
        <cfvo type="percent" val="0"/>
        <cfvo type="num" val="0.33"/>
        <cfvo type="num" val="0.41499999999999998"/>
      </iconSet>
    </cfRule>
  </conditionalFormatting>
  <conditionalFormatting sqref="H10:H21">
    <cfRule type="iconSet" priority="27">
      <iconSet>
        <cfvo type="percent" val="0"/>
        <cfvo type="num" val="0.33"/>
        <cfvo type="num" val="0.41499999999999998"/>
      </iconSet>
    </cfRule>
  </conditionalFormatting>
  <conditionalFormatting sqref="J10:J21">
    <cfRule type="iconSet" priority="26">
      <iconSet>
        <cfvo type="percent" val="0"/>
        <cfvo type="num" val="0.33"/>
        <cfvo type="num" val="0.41499999999999998"/>
      </iconSet>
    </cfRule>
  </conditionalFormatting>
  <conditionalFormatting sqref="J28:J34">
    <cfRule type="iconSet" priority="15">
      <iconSet>
        <cfvo type="percent" val="0"/>
        <cfvo type="num" val="0.33"/>
        <cfvo type="num" val="0.41499999999999998"/>
      </iconSet>
    </cfRule>
  </conditionalFormatting>
  <conditionalFormatting sqref="J36:J37">
    <cfRule type="iconSet" priority="11">
      <iconSet>
        <cfvo type="percent" val="0"/>
        <cfvo type="num" val="0.33"/>
        <cfvo type="num" val="0.41499999999999998"/>
      </iconSet>
    </cfRule>
  </conditionalFormatting>
  <conditionalFormatting sqref="M10:M21">
    <cfRule type="iconSet" priority="25">
      <iconSet>
        <cfvo type="percent" val="0"/>
        <cfvo type="num" val="0.33"/>
        <cfvo type="num" val="0.41499999999999998"/>
      </iconSet>
    </cfRule>
  </conditionalFormatting>
  <conditionalFormatting sqref="M28:M34">
    <cfRule type="iconSet" priority="14">
      <iconSet>
        <cfvo type="percent" val="0"/>
        <cfvo type="num" val="0.33"/>
        <cfvo type="num" val="0.41499999999999998"/>
      </iconSet>
    </cfRule>
  </conditionalFormatting>
  <conditionalFormatting sqref="M36:M37">
    <cfRule type="iconSet" priority="10">
      <iconSet>
        <cfvo type="percent" val="0"/>
        <cfvo type="num" val="0.33"/>
        <cfvo type="num" val="0.41499999999999998"/>
      </iconSet>
    </cfRule>
  </conditionalFormatting>
  <conditionalFormatting sqref="O10:O21">
    <cfRule type="iconSet" priority="24">
      <iconSet>
        <cfvo type="percent" val="0"/>
        <cfvo type="num" val="0.33"/>
        <cfvo type="num" val="0.41499999999999998"/>
      </iconSet>
    </cfRule>
  </conditionalFormatting>
  <conditionalFormatting sqref="P28:P34">
    <cfRule type="iconSet" priority="13">
      <iconSet>
        <cfvo type="percent" val="0"/>
        <cfvo type="num" val="0.33"/>
        <cfvo type="num" val="0.41499999999999998"/>
      </iconSet>
    </cfRule>
  </conditionalFormatting>
  <conditionalFormatting sqref="P36:P37">
    <cfRule type="iconSet" priority="9">
      <iconSet>
        <cfvo type="percent" val="0"/>
        <cfvo type="num" val="0.33"/>
        <cfvo type="num" val="0.41499999999999998"/>
      </iconSet>
    </cfRule>
  </conditionalFormatting>
  <conditionalFormatting sqref="Q10:Q21">
    <cfRule type="iconSet" priority="23">
      <iconSet>
        <cfvo type="percent" val="0"/>
        <cfvo type="num" val="0.33"/>
        <cfvo type="num" val="0.41499999999999998"/>
      </iconSet>
    </cfRule>
  </conditionalFormatting>
  <conditionalFormatting sqref="S10:S21">
    <cfRule type="iconSet" priority="22">
      <iconSet>
        <cfvo type="percent" val="0"/>
        <cfvo type="num" val="0.33"/>
        <cfvo type="num" val="0.41499999999999998"/>
      </iconSet>
    </cfRule>
  </conditionalFormatting>
  <conditionalFormatting sqref="S28">
    <cfRule type="iconSet" priority="5">
      <iconSet>
        <cfvo type="percent" val="0"/>
        <cfvo type="num" val="0.1333"/>
        <cfvo type="num" val="0.1583"/>
      </iconSet>
    </cfRule>
  </conditionalFormatting>
  <conditionalFormatting sqref="S28:S30">
    <cfRule type="iconSet" priority="6">
      <iconSet>
        <cfvo type="percent" val="0"/>
        <cfvo type="num" val="0.1333"/>
        <cfvo type="num" val="0.158"/>
      </iconSet>
    </cfRule>
  </conditionalFormatting>
  <conditionalFormatting sqref="S29">
    <cfRule type="iconSet" priority="7">
      <iconSet>
        <cfvo type="percent" val="0"/>
        <cfvo type="num" val="0.1333"/>
        <cfvo type="num" val="0.1583"/>
      </iconSet>
    </cfRule>
  </conditionalFormatting>
  <conditionalFormatting sqref="S30">
    <cfRule type="iconSet" priority="8">
      <iconSet>
        <cfvo type="percent" val="0"/>
        <cfvo type="num" val="0.1333"/>
        <cfvo type="num" val="0.1583"/>
      </iconSet>
    </cfRule>
  </conditionalFormatting>
  <conditionalFormatting sqref="U10:U21">
    <cfRule type="iconSet" priority="21">
      <iconSet>
        <cfvo type="percent" val="0"/>
        <cfvo type="num" val="0.33"/>
        <cfvo type="num" val="0.41499999999999998"/>
      </iconSet>
    </cfRule>
  </conditionalFormatting>
  <conditionalFormatting sqref="X10:X21">
    <cfRule type="iconSet" priority="20">
      <iconSet>
        <cfvo type="percent" val="0"/>
        <cfvo type="num" val="0.33"/>
        <cfvo type="num" val="0.41499999999999998"/>
      </iconSet>
    </cfRule>
  </conditionalFormatting>
  <conditionalFormatting sqref="Z10:Z21">
    <cfRule type="iconSet" priority="19">
      <iconSet>
        <cfvo type="percent" val="0"/>
        <cfvo type="num" val="0.33"/>
        <cfvo type="num" val="0.41499999999999998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65DE-9FB2-48EB-A4C1-DF2F25ABA60E}">
  <dimension ref="A1:Z44"/>
  <sheetViews>
    <sheetView topLeftCell="D17" zoomScale="90" zoomScaleNormal="90" workbookViewId="0">
      <selection activeCell="L36" sqref="L36"/>
    </sheetView>
  </sheetViews>
  <sheetFormatPr baseColWidth="10" defaultRowHeight="14.5" x14ac:dyDescent="0.35"/>
  <cols>
    <col min="1" max="1" width="15.81640625" customWidth="1"/>
    <col min="2" max="2" width="6.1796875" style="31" customWidth="1"/>
    <col min="3" max="3" width="6.1796875" customWidth="1"/>
    <col min="4" max="4" width="7.08984375" customWidth="1"/>
    <col min="5" max="5" width="6.1796875" customWidth="1"/>
    <col min="6" max="6" width="6.7265625" customWidth="1"/>
    <col min="7" max="7" width="6.1796875" customWidth="1"/>
    <col min="8" max="8" width="7.1796875" customWidth="1"/>
    <col min="9" max="9" width="6.81640625" customWidth="1"/>
    <col min="10" max="10" width="7.08984375" customWidth="1"/>
    <col min="11" max="11" width="5.7265625" customWidth="1"/>
    <col min="12" max="12" width="6.81640625" customWidth="1"/>
    <col min="13" max="13" width="7.6328125" customWidth="1"/>
    <col min="14" max="14" width="6.36328125" customWidth="1"/>
    <col min="15" max="15" width="7.26953125" customWidth="1"/>
    <col min="16" max="16" width="6.54296875" customWidth="1"/>
    <col min="17" max="17" width="8.90625" customWidth="1"/>
    <col min="18" max="18" width="7.81640625" customWidth="1"/>
    <col min="19" max="19" width="6.54296875" customWidth="1"/>
    <col min="20" max="20" width="6.08984375" customWidth="1"/>
    <col min="21" max="21" width="7.26953125" customWidth="1"/>
    <col min="22" max="22" width="5.90625" customWidth="1"/>
    <col min="23" max="23" width="6.81640625" customWidth="1"/>
    <col min="24" max="24" width="6.6328125" customWidth="1"/>
    <col min="25" max="25" width="6.08984375" customWidth="1"/>
    <col min="26" max="26" width="7.36328125" customWidth="1"/>
  </cols>
  <sheetData>
    <row r="1" spans="1:26" s="32" customFormat="1" ht="22" customHeight="1" x14ac:dyDescent="0.35">
      <c r="A1" s="45" t="s">
        <v>43</v>
      </c>
      <c r="B1" s="46"/>
      <c r="C1" s="45"/>
      <c r="D1" s="45"/>
      <c r="E1" s="94" t="s">
        <v>37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s="32" customFormat="1" ht="5.5" customHeight="1" x14ac:dyDescent="0.35">
      <c r="A2" s="45"/>
      <c r="B2" s="46"/>
      <c r="C2" s="45"/>
      <c r="D2" s="45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14.5" customHeight="1" x14ac:dyDescent="0.35">
      <c r="A3" s="38"/>
      <c r="B3" s="39" t="s">
        <v>40</v>
      </c>
      <c r="D3" s="32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14.5" customHeight="1" x14ac:dyDescent="0.4">
      <c r="A4" s="40"/>
      <c r="B4" s="41" t="s">
        <v>41</v>
      </c>
      <c r="C4" s="32"/>
      <c r="D4" s="32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14.5" customHeight="1" x14ac:dyDescent="0.4">
      <c r="A5" s="42"/>
      <c r="B5" s="41" t="s">
        <v>42</v>
      </c>
      <c r="D5" s="32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s="32" customFormat="1" ht="9" customHeight="1" x14ac:dyDescent="0.4">
      <c r="A6" s="43"/>
      <c r="B6" s="44"/>
      <c r="C6" s="41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4.5" customHeight="1" x14ac:dyDescent="0.35">
      <c r="A7" s="86" t="s">
        <v>36</v>
      </c>
      <c r="B7" s="57" t="s">
        <v>0</v>
      </c>
      <c r="C7" s="93"/>
      <c r="D7" s="93"/>
      <c r="E7" s="93"/>
      <c r="F7" s="93"/>
      <c r="G7" s="93"/>
      <c r="H7" s="93"/>
      <c r="I7" s="93"/>
      <c r="J7" s="58"/>
      <c r="K7" s="59" t="s">
        <v>1</v>
      </c>
      <c r="L7" s="73"/>
      <c r="M7" s="73"/>
      <c r="N7" s="73"/>
      <c r="O7" s="73"/>
      <c r="P7" s="73"/>
      <c r="Q7" s="73"/>
      <c r="R7" s="51"/>
      <c r="S7" s="51"/>
      <c r="T7" s="51"/>
      <c r="U7" s="52"/>
      <c r="V7" s="70" t="s">
        <v>2</v>
      </c>
      <c r="W7" s="72"/>
      <c r="X7" s="72"/>
      <c r="Y7" s="72"/>
      <c r="Z7" s="71"/>
    </row>
    <row r="8" spans="1:26" x14ac:dyDescent="0.35">
      <c r="A8" s="87"/>
      <c r="B8" s="89" t="s">
        <v>22</v>
      </c>
      <c r="C8" s="57" t="s">
        <v>7</v>
      </c>
      <c r="D8" s="58"/>
      <c r="E8" s="57" t="s">
        <v>8</v>
      </c>
      <c r="F8" s="58"/>
      <c r="G8" s="57" t="s">
        <v>9</v>
      </c>
      <c r="H8" s="58"/>
      <c r="I8" s="57" t="s">
        <v>10</v>
      </c>
      <c r="J8" s="58"/>
      <c r="K8" s="91" t="s">
        <v>22</v>
      </c>
      <c r="L8" s="59" t="s">
        <v>11</v>
      </c>
      <c r="M8" s="60"/>
      <c r="N8" s="59" t="s">
        <v>12</v>
      </c>
      <c r="O8" s="73"/>
      <c r="P8" s="73"/>
      <c r="Q8" s="60"/>
      <c r="R8" s="59" t="s">
        <v>13</v>
      </c>
      <c r="S8" s="60"/>
      <c r="T8" s="59" t="s">
        <v>7</v>
      </c>
      <c r="U8" s="60"/>
      <c r="V8" s="81" t="s">
        <v>22</v>
      </c>
      <c r="W8" s="70" t="s">
        <v>13</v>
      </c>
      <c r="X8" s="71"/>
      <c r="Y8" s="70" t="s">
        <v>14</v>
      </c>
      <c r="Z8" s="71"/>
    </row>
    <row r="9" spans="1:26" ht="27.5" customHeight="1" x14ac:dyDescent="0.35">
      <c r="A9" s="88"/>
      <c r="B9" s="90"/>
      <c r="C9" s="2" t="s">
        <v>16</v>
      </c>
      <c r="D9" s="2" t="s">
        <v>33</v>
      </c>
      <c r="E9" s="2" t="s">
        <v>17</v>
      </c>
      <c r="F9" s="2" t="s">
        <v>33</v>
      </c>
      <c r="G9" s="2" t="s">
        <v>16</v>
      </c>
      <c r="H9" s="2" t="s">
        <v>33</v>
      </c>
      <c r="I9" s="2" t="s">
        <v>17</v>
      </c>
      <c r="J9" s="2" t="s">
        <v>33</v>
      </c>
      <c r="K9" s="92"/>
      <c r="L9" s="1" t="s">
        <v>16</v>
      </c>
      <c r="M9" s="1" t="s">
        <v>33</v>
      </c>
      <c r="N9" s="1" t="s">
        <v>18</v>
      </c>
      <c r="O9" s="1" t="s">
        <v>33</v>
      </c>
      <c r="P9" s="1" t="s">
        <v>17</v>
      </c>
      <c r="Q9" s="1" t="s">
        <v>33</v>
      </c>
      <c r="R9" s="1" t="s">
        <v>20</v>
      </c>
      <c r="S9" s="1" t="s">
        <v>33</v>
      </c>
      <c r="T9" s="1" t="s">
        <v>20</v>
      </c>
      <c r="U9" s="1" t="s">
        <v>33</v>
      </c>
      <c r="V9" s="82"/>
      <c r="W9" s="3" t="s">
        <v>21</v>
      </c>
      <c r="X9" s="3" t="s">
        <v>33</v>
      </c>
      <c r="Y9" s="3" t="s">
        <v>21</v>
      </c>
      <c r="Z9" s="3" t="s">
        <v>33</v>
      </c>
    </row>
    <row r="10" spans="1:26" x14ac:dyDescent="0.35">
      <c r="A10" s="7" t="s">
        <v>23</v>
      </c>
      <c r="B10" s="9">
        <v>442</v>
      </c>
      <c r="C10" s="26">
        <v>120</v>
      </c>
      <c r="D10" s="37">
        <f>C10/B10</f>
        <v>0.27149321266968324</v>
      </c>
      <c r="E10" s="26">
        <v>120</v>
      </c>
      <c r="F10" s="37">
        <f>E10/B10</f>
        <v>0.27149321266968324</v>
      </c>
      <c r="G10" s="26">
        <v>120</v>
      </c>
      <c r="H10" s="37">
        <f>G10/B10</f>
        <v>0.27149321266968324</v>
      </c>
      <c r="I10" s="26">
        <v>122</v>
      </c>
      <c r="J10" s="37">
        <f>I10/B10</f>
        <v>0.27601809954751133</v>
      </c>
      <c r="K10" s="26">
        <v>595</v>
      </c>
      <c r="L10" s="27">
        <v>151</v>
      </c>
      <c r="M10" s="37">
        <f>L10/K10</f>
        <v>0.253781512605042</v>
      </c>
      <c r="N10" s="27">
        <v>151</v>
      </c>
      <c r="O10" s="37">
        <f>N10/K10</f>
        <v>0.253781512605042</v>
      </c>
      <c r="P10" s="26">
        <v>151</v>
      </c>
      <c r="Q10" s="37">
        <f>P10/K10</f>
        <v>0.253781512605042</v>
      </c>
      <c r="R10" s="26">
        <v>113</v>
      </c>
      <c r="S10" s="37">
        <f t="shared" ref="S10:S18" si="0">R10/K10</f>
        <v>0.18991596638655461</v>
      </c>
      <c r="T10" s="26">
        <v>160</v>
      </c>
      <c r="U10" s="37">
        <f>T10/K10</f>
        <v>0.26890756302521007</v>
      </c>
      <c r="V10" s="26">
        <v>734</v>
      </c>
      <c r="W10" s="26">
        <v>206</v>
      </c>
      <c r="X10" s="37">
        <f>W10/V10</f>
        <v>0.28065395095367845</v>
      </c>
      <c r="Y10" s="26">
        <v>200</v>
      </c>
      <c r="Z10" s="37">
        <f>Y10/V10</f>
        <v>0.27247956403269757</v>
      </c>
    </row>
    <row r="11" spans="1:26" x14ac:dyDescent="0.35">
      <c r="A11" s="7" t="s">
        <v>24</v>
      </c>
      <c r="B11" s="9">
        <v>635</v>
      </c>
      <c r="C11" s="27">
        <v>194</v>
      </c>
      <c r="D11" s="37">
        <f t="shared" ref="D11:D18" si="1">C11/B11</f>
        <v>0.30551181102362207</v>
      </c>
      <c r="E11" s="27">
        <v>190</v>
      </c>
      <c r="F11" s="37">
        <f t="shared" ref="F11:F18" si="2">E11/B11</f>
        <v>0.29921259842519687</v>
      </c>
      <c r="G11" s="27">
        <v>193</v>
      </c>
      <c r="H11" s="37">
        <f t="shared" ref="H11:H18" si="3">G11/B11</f>
        <v>0.30393700787401573</v>
      </c>
      <c r="I11" s="27">
        <v>188</v>
      </c>
      <c r="J11" s="37">
        <f t="shared" ref="J11:J18" si="4">I11/B11</f>
        <v>0.29606299212598425</v>
      </c>
      <c r="K11" s="26">
        <v>711</v>
      </c>
      <c r="L11" s="27">
        <v>207</v>
      </c>
      <c r="M11" s="37">
        <f t="shared" ref="M11:M18" si="5">L11/K11</f>
        <v>0.29113924050632911</v>
      </c>
      <c r="N11" s="27">
        <v>214</v>
      </c>
      <c r="O11" s="37">
        <f t="shared" ref="O11:O18" si="6">N11/K11</f>
        <v>0.3009845288326301</v>
      </c>
      <c r="P11" s="26">
        <v>168</v>
      </c>
      <c r="Q11" s="37">
        <f t="shared" ref="Q11:Q18" si="7">P11/K11</f>
        <v>0.23628691983122363</v>
      </c>
      <c r="R11" s="26">
        <v>131</v>
      </c>
      <c r="S11" s="37">
        <f t="shared" si="0"/>
        <v>0.18424753867791843</v>
      </c>
      <c r="T11" s="26">
        <v>192</v>
      </c>
      <c r="U11" s="37">
        <f t="shared" ref="U11:U18" si="8">T11/K11</f>
        <v>0.27004219409282698</v>
      </c>
      <c r="V11" s="26">
        <v>806</v>
      </c>
      <c r="W11" s="26">
        <v>229</v>
      </c>
      <c r="X11" s="37">
        <f t="shared" ref="X11:X18" si="9">W11/V11</f>
        <v>0.28411910669975188</v>
      </c>
      <c r="Y11" s="26">
        <v>222</v>
      </c>
      <c r="Z11" s="37">
        <f t="shared" ref="Z11:Z18" si="10">Y11/V11</f>
        <v>0.27543424317617865</v>
      </c>
    </row>
    <row r="12" spans="1:26" x14ac:dyDescent="0.35">
      <c r="A12" s="7" t="s">
        <v>25</v>
      </c>
      <c r="B12" s="9">
        <v>130</v>
      </c>
      <c r="C12" s="27">
        <v>38</v>
      </c>
      <c r="D12" s="37">
        <f t="shared" si="1"/>
        <v>0.29230769230769232</v>
      </c>
      <c r="E12" s="27">
        <v>34</v>
      </c>
      <c r="F12" s="37">
        <f t="shared" si="2"/>
        <v>0.26153846153846155</v>
      </c>
      <c r="G12" s="27">
        <v>38</v>
      </c>
      <c r="H12" s="37">
        <f t="shared" si="3"/>
        <v>0.29230769230769232</v>
      </c>
      <c r="I12" s="27">
        <v>35</v>
      </c>
      <c r="J12" s="37">
        <f t="shared" si="4"/>
        <v>0.26923076923076922</v>
      </c>
      <c r="K12" s="26">
        <v>161</v>
      </c>
      <c r="L12" s="27">
        <v>48</v>
      </c>
      <c r="M12" s="37">
        <f t="shared" si="5"/>
        <v>0.29813664596273293</v>
      </c>
      <c r="N12" s="27">
        <v>49</v>
      </c>
      <c r="O12" s="37">
        <f t="shared" si="6"/>
        <v>0.30434782608695654</v>
      </c>
      <c r="P12" s="26">
        <v>45</v>
      </c>
      <c r="Q12" s="37">
        <f t="shared" si="7"/>
        <v>0.27950310559006208</v>
      </c>
      <c r="R12" s="26">
        <v>29</v>
      </c>
      <c r="S12" s="37">
        <f t="shared" si="0"/>
        <v>0.18012422360248448</v>
      </c>
      <c r="T12" s="26">
        <v>46</v>
      </c>
      <c r="U12" s="37">
        <f t="shared" si="8"/>
        <v>0.2857142857142857</v>
      </c>
      <c r="V12" s="26">
        <v>221</v>
      </c>
      <c r="W12" s="26">
        <v>72</v>
      </c>
      <c r="X12" s="37">
        <f t="shared" si="9"/>
        <v>0.32579185520361992</v>
      </c>
      <c r="Y12" s="26">
        <v>71</v>
      </c>
      <c r="Z12" s="37">
        <f t="shared" si="10"/>
        <v>0.32126696832579188</v>
      </c>
    </row>
    <row r="13" spans="1:26" x14ac:dyDescent="0.35">
      <c r="A13" s="7" t="s">
        <v>26</v>
      </c>
      <c r="B13" s="9">
        <v>402</v>
      </c>
      <c r="C13" s="27">
        <v>145</v>
      </c>
      <c r="D13" s="37">
        <f t="shared" si="1"/>
        <v>0.36069651741293535</v>
      </c>
      <c r="E13" s="27">
        <v>130</v>
      </c>
      <c r="F13" s="37">
        <f t="shared" si="2"/>
        <v>0.32338308457711445</v>
      </c>
      <c r="G13" s="27">
        <v>146</v>
      </c>
      <c r="H13" s="37">
        <f t="shared" si="3"/>
        <v>0.36318407960199006</v>
      </c>
      <c r="I13" s="27">
        <v>130</v>
      </c>
      <c r="J13" s="37">
        <f t="shared" si="4"/>
        <v>0.32338308457711445</v>
      </c>
      <c r="K13" s="26">
        <v>489</v>
      </c>
      <c r="L13" s="27">
        <v>148</v>
      </c>
      <c r="M13" s="37">
        <f t="shared" si="5"/>
        <v>0.30265848670756645</v>
      </c>
      <c r="N13" s="27">
        <v>154</v>
      </c>
      <c r="O13" s="37">
        <f t="shared" si="6"/>
        <v>0.31492842535787319</v>
      </c>
      <c r="P13" s="26">
        <v>124</v>
      </c>
      <c r="Q13" s="37">
        <f t="shared" si="7"/>
        <v>0.25357873210633947</v>
      </c>
      <c r="R13" s="26">
        <v>98</v>
      </c>
      <c r="S13" s="37">
        <f t="shared" si="0"/>
        <v>0.20040899795501022</v>
      </c>
      <c r="T13" s="26">
        <v>120</v>
      </c>
      <c r="U13" s="37">
        <f t="shared" si="8"/>
        <v>0.24539877300613497</v>
      </c>
      <c r="V13" s="26">
        <v>676</v>
      </c>
      <c r="W13" s="26">
        <v>175</v>
      </c>
      <c r="X13" s="37">
        <f t="shared" si="9"/>
        <v>0.2588757396449704</v>
      </c>
      <c r="Y13" s="26">
        <v>177</v>
      </c>
      <c r="Z13" s="37">
        <f t="shared" si="10"/>
        <v>0.26183431952662722</v>
      </c>
    </row>
    <row r="14" spans="1:26" x14ac:dyDescent="0.35">
      <c r="A14" s="7" t="s">
        <v>28</v>
      </c>
      <c r="B14" s="9">
        <v>132</v>
      </c>
      <c r="C14" s="27">
        <v>64</v>
      </c>
      <c r="D14" s="37">
        <f t="shared" si="1"/>
        <v>0.48484848484848486</v>
      </c>
      <c r="E14" s="27">
        <v>57</v>
      </c>
      <c r="F14" s="37">
        <f t="shared" si="2"/>
        <v>0.43181818181818182</v>
      </c>
      <c r="G14" s="27">
        <v>64</v>
      </c>
      <c r="H14" s="37">
        <f t="shared" si="3"/>
        <v>0.48484848484848486</v>
      </c>
      <c r="I14" s="27">
        <v>57</v>
      </c>
      <c r="J14" s="37">
        <f t="shared" si="4"/>
        <v>0.43181818181818182</v>
      </c>
      <c r="K14" s="26">
        <v>167</v>
      </c>
      <c r="L14" s="27">
        <v>47</v>
      </c>
      <c r="M14" s="37">
        <f t="shared" si="5"/>
        <v>0.28143712574850299</v>
      </c>
      <c r="N14" s="27">
        <v>47</v>
      </c>
      <c r="O14" s="37">
        <f t="shared" si="6"/>
        <v>0.28143712574850299</v>
      </c>
      <c r="P14" s="26">
        <v>34</v>
      </c>
      <c r="Q14" s="37">
        <f t="shared" si="7"/>
        <v>0.20359281437125748</v>
      </c>
      <c r="R14" s="26">
        <v>18</v>
      </c>
      <c r="S14" s="37">
        <f t="shared" si="0"/>
        <v>0.10778443113772455</v>
      </c>
      <c r="T14" s="26">
        <v>37</v>
      </c>
      <c r="U14" s="37">
        <f t="shared" si="8"/>
        <v>0.22155688622754491</v>
      </c>
      <c r="V14" s="26">
        <v>255</v>
      </c>
      <c r="W14" s="26">
        <v>88</v>
      </c>
      <c r="X14" s="37">
        <f t="shared" si="9"/>
        <v>0.34509803921568627</v>
      </c>
      <c r="Y14" s="26">
        <v>87</v>
      </c>
      <c r="Z14" s="37">
        <f t="shared" si="10"/>
        <v>0.3411764705882353</v>
      </c>
    </row>
    <row r="15" spans="1:26" x14ac:dyDescent="0.35">
      <c r="A15" s="7" t="s">
        <v>29</v>
      </c>
      <c r="B15" s="9">
        <v>945</v>
      </c>
      <c r="C15" s="27">
        <v>316</v>
      </c>
      <c r="D15" s="37">
        <f t="shared" si="1"/>
        <v>0.33439153439153441</v>
      </c>
      <c r="E15" s="27">
        <v>327</v>
      </c>
      <c r="F15" s="37">
        <f t="shared" si="2"/>
        <v>0.34603174603174602</v>
      </c>
      <c r="G15" s="27">
        <v>317</v>
      </c>
      <c r="H15" s="37">
        <f t="shared" si="3"/>
        <v>0.33544973544973544</v>
      </c>
      <c r="I15" s="27">
        <v>333</v>
      </c>
      <c r="J15" s="37">
        <f t="shared" si="4"/>
        <v>0.35238095238095241</v>
      </c>
      <c r="K15" s="26">
        <v>1174</v>
      </c>
      <c r="L15" s="27">
        <v>361</v>
      </c>
      <c r="M15" s="37">
        <f t="shared" si="5"/>
        <v>0.30749574105621807</v>
      </c>
      <c r="N15" s="27">
        <v>365</v>
      </c>
      <c r="O15" s="37">
        <f t="shared" si="6"/>
        <v>0.31090289608177174</v>
      </c>
      <c r="P15" s="26">
        <v>312</v>
      </c>
      <c r="Q15" s="37">
        <f t="shared" si="7"/>
        <v>0.26575809199318567</v>
      </c>
      <c r="R15" s="26">
        <v>190</v>
      </c>
      <c r="S15" s="37">
        <f t="shared" si="0"/>
        <v>0.16183986371379896</v>
      </c>
      <c r="T15" s="26">
        <v>328</v>
      </c>
      <c r="U15" s="37">
        <f t="shared" si="8"/>
        <v>0.27938671209540034</v>
      </c>
      <c r="V15" s="26">
        <v>1562</v>
      </c>
      <c r="W15" s="26">
        <v>518</v>
      </c>
      <c r="X15" s="37">
        <f t="shared" si="9"/>
        <v>0.33162612035851474</v>
      </c>
      <c r="Y15" s="26">
        <v>505</v>
      </c>
      <c r="Z15" s="37">
        <f t="shared" si="10"/>
        <v>0.32330345710627401</v>
      </c>
    </row>
    <row r="16" spans="1:26" x14ac:dyDescent="0.35">
      <c r="A16" s="7" t="s">
        <v>34</v>
      </c>
      <c r="B16" s="9">
        <v>321</v>
      </c>
      <c r="C16" s="27">
        <v>54</v>
      </c>
      <c r="D16" s="37">
        <f t="shared" si="1"/>
        <v>0.16822429906542055</v>
      </c>
      <c r="E16" s="27">
        <v>62</v>
      </c>
      <c r="F16" s="37">
        <f t="shared" si="2"/>
        <v>0.19314641744548286</v>
      </c>
      <c r="G16" s="27">
        <v>55</v>
      </c>
      <c r="H16" s="37">
        <f t="shared" si="3"/>
        <v>0.17133956386292834</v>
      </c>
      <c r="I16" s="27">
        <v>62</v>
      </c>
      <c r="J16" s="37">
        <f t="shared" si="4"/>
        <v>0.19314641744548286</v>
      </c>
      <c r="K16" s="26">
        <v>327</v>
      </c>
      <c r="L16" s="27">
        <v>65</v>
      </c>
      <c r="M16" s="37">
        <f t="shared" si="5"/>
        <v>0.19877675840978593</v>
      </c>
      <c r="N16" s="27">
        <v>66</v>
      </c>
      <c r="O16" s="37">
        <f t="shared" si="6"/>
        <v>0.20183486238532111</v>
      </c>
      <c r="P16" s="26">
        <v>34</v>
      </c>
      <c r="Q16" s="37">
        <f t="shared" si="7"/>
        <v>0.10397553516819572</v>
      </c>
      <c r="R16" s="26">
        <v>32</v>
      </c>
      <c r="S16" s="37">
        <f t="shared" si="0"/>
        <v>9.7859327217125383E-2</v>
      </c>
      <c r="T16" s="26">
        <v>47</v>
      </c>
      <c r="U16" s="37">
        <f t="shared" si="8"/>
        <v>0.14373088685015289</v>
      </c>
      <c r="V16" s="26">
        <v>436</v>
      </c>
      <c r="W16" s="26">
        <v>53</v>
      </c>
      <c r="X16" s="37">
        <f t="shared" si="9"/>
        <v>0.12155963302752294</v>
      </c>
      <c r="Y16" s="26">
        <v>55</v>
      </c>
      <c r="Z16" s="37">
        <f t="shared" si="10"/>
        <v>0.12614678899082568</v>
      </c>
    </row>
    <row r="17" spans="1:26" x14ac:dyDescent="0.35">
      <c r="A17" s="13" t="s">
        <v>27</v>
      </c>
      <c r="B17" s="29">
        <v>1222</v>
      </c>
      <c r="C17" s="27">
        <f>SUM(C19:C20)</f>
        <v>387</v>
      </c>
      <c r="D17" s="37">
        <f t="shared" si="1"/>
        <v>0.31669394435351883</v>
      </c>
      <c r="E17" s="27">
        <f>SUM(E19:E20)</f>
        <v>397</v>
      </c>
      <c r="F17" s="37">
        <f t="shared" si="2"/>
        <v>0.32487725040916532</v>
      </c>
      <c r="G17" s="27">
        <f>SUM(G19:G20)</f>
        <v>385</v>
      </c>
      <c r="H17" s="37">
        <f t="shared" si="3"/>
        <v>0.31505728314238951</v>
      </c>
      <c r="I17" s="27">
        <f>SUM(I19:I20)</f>
        <v>405</v>
      </c>
      <c r="J17" s="37">
        <f t="shared" si="4"/>
        <v>0.33142389525368249</v>
      </c>
      <c r="K17" s="27">
        <v>1482</v>
      </c>
      <c r="L17" s="27">
        <f>SUM(L19:L20)</f>
        <v>469</v>
      </c>
      <c r="M17" s="37">
        <f t="shared" si="5"/>
        <v>0.31646423751686908</v>
      </c>
      <c r="N17" s="27">
        <f>SUM(N19:N20)</f>
        <v>480</v>
      </c>
      <c r="O17" s="37">
        <f t="shared" si="6"/>
        <v>0.32388663967611336</v>
      </c>
      <c r="P17" s="27">
        <f>SUM(P19:P20)</f>
        <v>381</v>
      </c>
      <c r="Q17" s="37">
        <f t="shared" si="7"/>
        <v>0.25708502024291496</v>
      </c>
      <c r="R17" s="27">
        <f>SUM(R19:R20)</f>
        <v>269</v>
      </c>
      <c r="S17" s="37">
        <f t="shared" si="0"/>
        <v>0.18151147098515519</v>
      </c>
      <c r="T17" s="27">
        <f>SUM(T19:T20)</f>
        <v>438</v>
      </c>
      <c r="U17" s="37">
        <f t="shared" si="8"/>
        <v>0.29554655870445345</v>
      </c>
      <c r="V17" s="27">
        <v>2023</v>
      </c>
      <c r="W17" s="27">
        <f>SUM(W19:W20)</f>
        <v>622</v>
      </c>
      <c r="X17" s="37">
        <f t="shared" si="9"/>
        <v>0.30746416213544242</v>
      </c>
      <c r="Y17" s="27">
        <f>SUM(Y19:Y20)</f>
        <v>621</v>
      </c>
      <c r="Z17" s="37">
        <f t="shared" si="10"/>
        <v>0.30696984676223432</v>
      </c>
    </row>
    <row r="18" spans="1:26" ht="14" customHeight="1" x14ac:dyDescent="0.35">
      <c r="A18" s="8" t="s">
        <v>30</v>
      </c>
      <c r="B18" s="30">
        <f>SUM(B10:B17)</f>
        <v>4229</v>
      </c>
      <c r="C18" s="28">
        <f>SUM(C10:C17)</f>
        <v>1318</v>
      </c>
      <c r="D18" s="37">
        <f t="shared" si="1"/>
        <v>0.31165760227004019</v>
      </c>
      <c r="E18" s="28">
        <f>SUM(E10:E17)</f>
        <v>1317</v>
      </c>
      <c r="F18" s="37">
        <f t="shared" si="2"/>
        <v>0.31142113974934971</v>
      </c>
      <c r="G18" s="28">
        <f>SUM(G10:G17)</f>
        <v>1318</v>
      </c>
      <c r="H18" s="37">
        <f t="shared" si="3"/>
        <v>0.31165760227004019</v>
      </c>
      <c r="I18" s="28">
        <f>SUM(I10:I17)</f>
        <v>1332</v>
      </c>
      <c r="J18" s="37">
        <f t="shared" si="4"/>
        <v>0.31496807755970679</v>
      </c>
      <c r="K18" s="28">
        <f>SUM(K10:K17)</f>
        <v>5106</v>
      </c>
      <c r="L18" s="28">
        <f>SUM(L10:L17)</f>
        <v>1496</v>
      </c>
      <c r="M18" s="37">
        <f t="shared" si="5"/>
        <v>0.29298864081472775</v>
      </c>
      <c r="N18" s="28">
        <f>SUM(N10:N17)</f>
        <v>1526</v>
      </c>
      <c r="O18" s="37">
        <f t="shared" si="6"/>
        <v>0.2988640814727771</v>
      </c>
      <c r="P18" s="28">
        <f>SUM(P10:P17)</f>
        <v>1249</v>
      </c>
      <c r="Q18" s="37">
        <f t="shared" si="7"/>
        <v>0.24461417939678809</v>
      </c>
      <c r="R18" s="28">
        <f>SUM(R10:R17)</f>
        <v>880</v>
      </c>
      <c r="S18" s="37">
        <f t="shared" si="0"/>
        <v>0.17234625930278105</v>
      </c>
      <c r="T18" s="28">
        <f>SUM(T10:T17)</f>
        <v>1368</v>
      </c>
      <c r="U18" s="37">
        <f t="shared" si="8"/>
        <v>0.26792009400705052</v>
      </c>
      <c r="V18" s="28">
        <f>SUM(V10:V17)</f>
        <v>6713</v>
      </c>
      <c r="W18" s="28">
        <f>SUM(W10:W17)</f>
        <v>1963</v>
      </c>
      <c r="X18" s="37">
        <f t="shared" si="9"/>
        <v>0.29241769700580961</v>
      </c>
      <c r="Y18" s="28">
        <f>SUM(Y10:Y17)</f>
        <v>1938</v>
      </c>
      <c r="Z18" s="37">
        <f t="shared" si="10"/>
        <v>0.28869357962162967</v>
      </c>
    </row>
    <row r="19" spans="1:26" ht="14.5" customHeight="1" x14ac:dyDescent="0.35">
      <c r="A19" s="20"/>
      <c r="B19" s="22"/>
      <c r="C19" s="23">
        <v>355</v>
      </c>
      <c r="D19" s="20"/>
      <c r="E19" s="20">
        <v>370</v>
      </c>
      <c r="F19" s="20"/>
      <c r="G19" s="50">
        <v>353</v>
      </c>
      <c r="H19" s="20"/>
      <c r="I19" s="15">
        <v>378</v>
      </c>
      <c r="J19" s="20"/>
      <c r="K19" s="20"/>
      <c r="L19" s="15">
        <v>429</v>
      </c>
      <c r="M19" s="20"/>
      <c r="N19" s="15">
        <v>440</v>
      </c>
      <c r="O19" s="20"/>
      <c r="P19" s="15">
        <v>358</v>
      </c>
      <c r="Q19" s="20"/>
      <c r="R19" s="15">
        <v>247</v>
      </c>
      <c r="S19" s="20"/>
      <c r="T19" s="15">
        <v>407</v>
      </c>
      <c r="U19" s="20"/>
      <c r="V19" s="20"/>
      <c r="W19" s="15">
        <v>566</v>
      </c>
      <c r="X19" s="20"/>
      <c r="Y19" s="15">
        <v>565</v>
      </c>
      <c r="Z19" s="20"/>
    </row>
    <row r="20" spans="1:26" ht="14.5" customHeight="1" x14ac:dyDescent="0.35">
      <c r="A20" s="20"/>
      <c r="B20" s="22"/>
      <c r="C20" s="48">
        <v>32</v>
      </c>
      <c r="D20" s="20"/>
      <c r="E20" s="48">
        <v>27</v>
      </c>
      <c r="F20" s="20"/>
      <c r="G20" s="48">
        <v>32</v>
      </c>
      <c r="H20" s="20"/>
      <c r="I20" s="48">
        <v>27</v>
      </c>
      <c r="J20" s="20"/>
      <c r="K20" s="20"/>
      <c r="L20" s="48">
        <v>40</v>
      </c>
      <c r="M20" s="20"/>
      <c r="N20" s="48">
        <v>40</v>
      </c>
      <c r="O20" s="20"/>
      <c r="P20" s="48">
        <v>23</v>
      </c>
      <c r="Q20" s="20"/>
      <c r="R20" s="48">
        <v>22</v>
      </c>
      <c r="S20" s="20"/>
      <c r="T20" s="48">
        <v>31</v>
      </c>
      <c r="U20" s="20"/>
      <c r="V20" s="20"/>
      <c r="W20" s="48">
        <v>56</v>
      </c>
      <c r="X20" s="20"/>
      <c r="Y20" s="48">
        <v>56</v>
      </c>
      <c r="Z20" s="20"/>
    </row>
    <row r="21" spans="1:26" x14ac:dyDescent="0.35">
      <c r="A21" s="78" t="s">
        <v>38</v>
      </c>
      <c r="B21" s="78"/>
      <c r="C21" s="78"/>
      <c r="D21" s="78"/>
      <c r="E21" s="78"/>
      <c r="F21" s="78"/>
      <c r="G21" s="78"/>
      <c r="H21" s="78"/>
      <c r="I21" s="78"/>
      <c r="J21" s="78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x14ac:dyDescent="0.35">
      <c r="A22" s="78" t="s">
        <v>46</v>
      </c>
      <c r="B22" s="78"/>
      <c r="C22" s="78"/>
      <c r="D22" s="78"/>
      <c r="E22" s="78"/>
      <c r="F22" s="78"/>
      <c r="G22" s="78"/>
      <c r="H22" s="78"/>
      <c r="I22" s="78"/>
      <c r="J22" s="78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s="32" customFormat="1" x14ac:dyDescent="0.35">
      <c r="B23" s="33"/>
    </row>
    <row r="24" spans="1:26" ht="14.5" customHeight="1" x14ac:dyDescent="0.35">
      <c r="A24" s="86" t="s">
        <v>36</v>
      </c>
      <c r="B24" s="68" t="s">
        <v>3</v>
      </c>
      <c r="C24" s="74"/>
      <c r="D24" s="69"/>
      <c r="E24" s="65" t="s">
        <v>4</v>
      </c>
      <c r="F24" s="66"/>
      <c r="G24" s="66"/>
      <c r="H24" s="66"/>
      <c r="I24" s="66"/>
      <c r="J24" s="67"/>
      <c r="K24" s="79" t="s">
        <v>5</v>
      </c>
      <c r="L24" s="85"/>
      <c r="M24" s="85"/>
      <c r="N24" s="85"/>
      <c r="O24" s="85"/>
      <c r="P24" s="80"/>
      <c r="Q24" s="32"/>
      <c r="R24" s="96" t="s">
        <v>43</v>
      </c>
      <c r="S24" s="96"/>
      <c r="T24" s="96"/>
      <c r="U24" s="32"/>
      <c r="V24" s="32"/>
      <c r="W24" s="32"/>
      <c r="X24" s="32"/>
    </row>
    <row r="25" spans="1:26" ht="14.5" customHeight="1" x14ac:dyDescent="0.35">
      <c r="A25" s="87"/>
      <c r="B25" s="75" t="s">
        <v>22</v>
      </c>
      <c r="C25" s="68" t="s">
        <v>6</v>
      </c>
      <c r="D25" s="69"/>
      <c r="E25" s="63" t="s">
        <v>22</v>
      </c>
      <c r="F25" s="65" t="s">
        <v>31</v>
      </c>
      <c r="G25" s="67"/>
      <c r="H25" s="63" t="s">
        <v>22</v>
      </c>
      <c r="I25" s="65" t="s">
        <v>32</v>
      </c>
      <c r="J25" s="67"/>
      <c r="K25" s="61" t="s">
        <v>22</v>
      </c>
      <c r="L25" s="79" t="s">
        <v>8</v>
      </c>
      <c r="M25" s="80"/>
      <c r="N25" s="83" t="s">
        <v>22</v>
      </c>
      <c r="O25" s="79" t="s">
        <v>15</v>
      </c>
      <c r="P25" s="80"/>
      <c r="Q25" s="32"/>
      <c r="R25" s="96"/>
      <c r="S25" s="96"/>
      <c r="T25" s="96"/>
      <c r="U25" s="32"/>
      <c r="V25" s="32"/>
      <c r="W25" s="32"/>
      <c r="X25" s="32"/>
    </row>
    <row r="26" spans="1:26" x14ac:dyDescent="0.35">
      <c r="A26" s="88"/>
      <c r="B26" s="76"/>
      <c r="C26" s="4" t="s">
        <v>19</v>
      </c>
      <c r="D26" s="4" t="s">
        <v>33</v>
      </c>
      <c r="E26" s="64"/>
      <c r="F26" s="5" t="s">
        <v>19</v>
      </c>
      <c r="G26" s="5" t="s">
        <v>33</v>
      </c>
      <c r="H26" s="64"/>
      <c r="I26" s="5" t="s">
        <v>19</v>
      </c>
      <c r="J26" s="5" t="s">
        <v>33</v>
      </c>
      <c r="K26" s="62"/>
      <c r="L26" s="6" t="s">
        <v>19</v>
      </c>
      <c r="M26" s="6" t="s">
        <v>33</v>
      </c>
      <c r="N26" s="84"/>
      <c r="O26" s="6" t="s">
        <v>19</v>
      </c>
      <c r="P26" s="6" t="s">
        <v>33</v>
      </c>
      <c r="Q26" s="32"/>
      <c r="R26" s="32"/>
      <c r="S26" s="32"/>
      <c r="T26" s="32"/>
      <c r="U26" s="32"/>
      <c r="V26" s="32"/>
      <c r="W26" s="32"/>
      <c r="X26" s="32"/>
    </row>
    <row r="27" spans="1:26" ht="16.5" customHeight="1" x14ac:dyDescent="0.35">
      <c r="A27" s="47" t="s">
        <v>23</v>
      </c>
      <c r="B27" s="9">
        <v>338</v>
      </c>
      <c r="C27" s="9">
        <v>123</v>
      </c>
      <c r="D27" s="37">
        <f>C27/B27</f>
        <v>0.36390532544378701</v>
      </c>
      <c r="E27" s="9">
        <v>825</v>
      </c>
      <c r="F27" s="9">
        <v>149</v>
      </c>
      <c r="G27" s="37">
        <f>F27/E27</f>
        <v>0.1806060606060606</v>
      </c>
      <c r="H27" s="9">
        <v>546</v>
      </c>
      <c r="I27" s="9">
        <v>258</v>
      </c>
      <c r="J27" s="37">
        <f>I27/H27</f>
        <v>0.47252747252747251</v>
      </c>
      <c r="K27" s="9">
        <v>827</v>
      </c>
      <c r="L27" s="9">
        <v>158</v>
      </c>
      <c r="M27" s="37">
        <f>L27/K27</f>
        <v>0.19105199516324062</v>
      </c>
      <c r="N27" s="9">
        <v>1652</v>
      </c>
      <c r="O27" s="9">
        <v>896</v>
      </c>
      <c r="P27" s="37">
        <f>O27/N27</f>
        <v>0.5423728813559322</v>
      </c>
      <c r="Q27" s="32"/>
      <c r="R27" s="38"/>
      <c r="S27" s="39" t="s">
        <v>40</v>
      </c>
      <c r="T27" s="32"/>
      <c r="U27" s="32"/>
      <c r="V27" s="32"/>
      <c r="W27" s="32"/>
      <c r="X27" s="32"/>
    </row>
    <row r="28" spans="1:26" ht="15" customHeight="1" x14ac:dyDescent="0.4">
      <c r="A28" s="47" t="s">
        <v>24</v>
      </c>
      <c r="B28" s="9">
        <v>587</v>
      </c>
      <c r="C28" s="9">
        <v>189</v>
      </c>
      <c r="D28" s="37">
        <f t="shared" ref="D28:D33" si="11">C28/B28</f>
        <v>0.3219761499148211</v>
      </c>
      <c r="E28" s="9">
        <v>1062</v>
      </c>
      <c r="F28" s="9">
        <v>159</v>
      </c>
      <c r="G28" s="37">
        <f t="shared" ref="G28:G33" si="12">F28/E28</f>
        <v>0.14971751412429379</v>
      </c>
      <c r="H28" s="9">
        <v>735</v>
      </c>
      <c r="I28" s="9">
        <v>241</v>
      </c>
      <c r="J28" s="37">
        <f t="shared" ref="J28:J36" si="13">I28/H28</f>
        <v>0.32789115646258504</v>
      </c>
      <c r="K28" s="9">
        <v>1189</v>
      </c>
      <c r="L28" s="9">
        <v>170</v>
      </c>
      <c r="M28" s="37">
        <f t="shared" ref="M28:M36" si="14">L28/K28</f>
        <v>0.14297729184188393</v>
      </c>
      <c r="N28" s="9">
        <v>2384</v>
      </c>
      <c r="O28" s="9">
        <v>992</v>
      </c>
      <c r="P28" s="37">
        <f t="shared" ref="P28:P33" si="15">O28/N28</f>
        <v>0.41610738255033558</v>
      </c>
      <c r="Q28" s="32"/>
      <c r="R28" s="40"/>
      <c r="S28" s="41" t="s">
        <v>41</v>
      </c>
      <c r="T28" s="32"/>
      <c r="U28" s="32"/>
      <c r="V28" s="32"/>
      <c r="W28" s="32"/>
      <c r="X28" s="32"/>
    </row>
    <row r="29" spans="1:26" ht="16.5" customHeight="1" x14ac:dyDescent="0.4">
      <c r="A29" s="47" t="s">
        <v>25</v>
      </c>
      <c r="B29" s="9">
        <v>83</v>
      </c>
      <c r="C29" s="9">
        <v>33</v>
      </c>
      <c r="D29" s="37">
        <f t="shared" si="11"/>
        <v>0.39759036144578314</v>
      </c>
      <c r="E29" s="9">
        <v>251</v>
      </c>
      <c r="F29" s="9">
        <v>47</v>
      </c>
      <c r="G29" s="37">
        <f t="shared" si="12"/>
        <v>0.18725099601593626</v>
      </c>
      <c r="H29" s="9">
        <v>184</v>
      </c>
      <c r="I29" s="9">
        <v>109</v>
      </c>
      <c r="J29" s="37">
        <f t="shared" si="13"/>
        <v>0.59239130434782605</v>
      </c>
      <c r="K29" s="9">
        <v>537</v>
      </c>
      <c r="L29" s="9">
        <v>51</v>
      </c>
      <c r="M29" s="37">
        <f t="shared" si="14"/>
        <v>9.4972067039106142E-2</v>
      </c>
      <c r="N29" s="9">
        <v>1074</v>
      </c>
      <c r="O29" s="9">
        <v>813</v>
      </c>
      <c r="P29" s="37">
        <f t="shared" si="15"/>
        <v>0.75698324022346364</v>
      </c>
      <c r="Q29" s="32"/>
      <c r="R29" s="42"/>
      <c r="S29" s="41" t="s">
        <v>42</v>
      </c>
      <c r="T29" s="32"/>
      <c r="U29" s="32"/>
      <c r="V29" s="32"/>
      <c r="W29" s="32"/>
      <c r="X29" s="32"/>
    </row>
    <row r="30" spans="1:26" x14ac:dyDescent="0.35">
      <c r="A30" s="7" t="s">
        <v>26</v>
      </c>
      <c r="B30" s="9">
        <v>321</v>
      </c>
      <c r="C30" s="9">
        <v>110</v>
      </c>
      <c r="D30" s="37">
        <f t="shared" si="11"/>
        <v>0.34267912772585668</v>
      </c>
      <c r="E30" s="9">
        <v>682</v>
      </c>
      <c r="F30" s="9">
        <v>75</v>
      </c>
      <c r="G30" s="37">
        <f t="shared" si="12"/>
        <v>0.10997067448680352</v>
      </c>
      <c r="H30" s="9">
        <v>476</v>
      </c>
      <c r="I30" s="9">
        <v>153</v>
      </c>
      <c r="J30" s="37">
        <f t="shared" si="13"/>
        <v>0.32142857142857145</v>
      </c>
      <c r="K30" s="9">
        <v>1076</v>
      </c>
      <c r="L30" s="9">
        <v>172</v>
      </c>
      <c r="M30" s="37">
        <f t="shared" si="14"/>
        <v>0.15985130111524162</v>
      </c>
      <c r="N30" s="9">
        <v>2145</v>
      </c>
      <c r="O30" s="9">
        <v>1288</v>
      </c>
      <c r="P30" s="37">
        <f t="shared" si="15"/>
        <v>0.60046620046620047</v>
      </c>
      <c r="Q30" s="32"/>
      <c r="R30" s="32"/>
      <c r="S30" s="32"/>
      <c r="T30" s="32"/>
      <c r="U30" s="32"/>
      <c r="V30" s="32"/>
      <c r="W30" s="32"/>
      <c r="X30" s="32"/>
    </row>
    <row r="31" spans="1:26" hidden="1" x14ac:dyDescent="0.35">
      <c r="B31" s="34"/>
      <c r="C31" s="34"/>
      <c r="D31" s="37" t="e">
        <f t="shared" si="11"/>
        <v>#DIV/0!</v>
      </c>
      <c r="E31" s="34"/>
      <c r="F31" s="34"/>
      <c r="G31" s="37" t="e">
        <f t="shared" si="12"/>
        <v>#DIV/0!</v>
      </c>
      <c r="H31" s="34"/>
      <c r="I31" s="34"/>
      <c r="J31" s="37" t="e">
        <f t="shared" si="13"/>
        <v>#DIV/0!</v>
      </c>
      <c r="K31" s="34"/>
      <c r="L31" s="34"/>
      <c r="M31" s="37" t="e">
        <f t="shared" si="14"/>
        <v>#DIV/0!</v>
      </c>
      <c r="N31" s="34"/>
      <c r="O31" s="34"/>
      <c r="P31" s="37" t="e">
        <f t="shared" si="15"/>
        <v>#DIV/0!</v>
      </c>
      <c r="Q31" s="32"/>
      <c r="R31" s="32"/>
      <c r="S31" s="32"/>
      <c r="T31" s="32"/>
      <c r="U31" s="32"/>
      <c r="V31" s="32"/>
      <c r="W31" s="32"/>
      <c r="X31" s="32"/>
    </row>
    <row r="32" spans="1:26" x14ac:dyDescent="0.35">
      <c r="A32" s="7" t="s">
        <v>28</v>
      </c>
      <c r="B32" s="9">
        <v>113</v>
      </c>
      <c r="C32" s="9">
        <v>41</v>
      </c>
      <c r="D32" s="37">
        <f t="shared" si="11"/>
        <v>0.36283185840707965</v>
      </c>
      <c r="E32" s="9">
        <v>269</v>
      </c>
      <c r="F32" s="9">
        <v>21</v>
      </c>
      <c r="G32" s="37">
        <f t="shared" si="12"/>
        <v>7.8066914498141265E-2</v>
      </c>
      <c r="H32" s="9">
        <v>241</v>
      </c>
      <c r="I32" s="9">
        <v>32</v>
      </c>
      <c r="J32" s="37">
        <f t="shared" si="13"/>
        <v>0.13278008298755187</v>
      </c>
      <c r="K32" s="9">
        <v>928</v>
      </c>
      <c r="L32" s="9">
        <v>37</v>
      </c>
      <c r="M32" s="37">
        <f t="shared" si="14"/>
        <v>3.9870689655172417E-2</v>
      </c>
      <c r="N32" s="9">
        <v>1858</v>
      </c>
      <c r="O32" s="9">
        <v>1216</v>
      </c>
      <c r="P32" s="37">
        <f t="shared" si="15"/>
        <v>0.65446716899892354</v>
      </c>
      <c r="Q32" s="32"/>
      <c r="R32" s="32"/>
      <c r="S32" s="32"/>
      <c r="T32" s="32"/>
      <c r="U32" s="32"/>
      <c r="V32" s="32"/>
      <c r="W32" s="32"/>
      <c r="X32" s="32"/>
    </row>
    <row r="33" spans="1:24" x14ac:dyDescent="0.35">
      <c r="A33" s="7" t="s">
        <v>29</v>
      </c>
      <c r="B33" s="9">
        <v>813</v>
      </c>
      <c r="C33" s="9">
        <v>284</v>
      </c>
      <c r="D33" s="37">
        <f t="shared" si="11"/>
        <v>0.34932349323493234</v>
      </c>
      <c r="E33" s="9">
        <v>1687</v>
      </c>
      <c r="F33" s="9">
        <v>299</v>
      </c>
      <c r="G33" s="37">
        <f t="shared" si="12"/>
        <v>0.17723770005927683</v>
      </c>
      <c r="H33" s="9">
        <v>1192</v>
      </c>
      <c r="I33" s="9">
        <v>367</v>
      </c>
      <c r="J33" s="37">
        <f t="shared" si="13"/>
        <v>0.30788590604026844</v>
      </c>
      <c r="K33" s="9">
        <v>1944</v>
      </c>
      <c r="L33" s="9">
        <v>338</v>
      </c>
      <c r="M33" s="37">
        <f t="shared" si="14"/>
        <v>0.17386831275720166</v>
      </c>
      <c r="N33" s="9">
        <v>3882</v>
      </c>
      <c r="O33" s="9">
        <v>2643</v>
      </c>
      <c r="P33" s="37">
        <f t="shared" si="15"/>
        <v>0.6808346213292118</v>
      </c>
      <c r="Q33" s="32"/>
      <c r="R33" s="32"/>
      <c r="S33" s="32"/>
      <c r="T33" s="32"/>
      <c r="U33" s="32"/>
      <c r="V33" s="32"/>
      <c r="W33" s="32"/>
      <c r="X33" s="32"/>
    </row>
    <row r="34" spans="1:24" x14ac:dyDescent="0.35">
      <c r="A34" s="7" t="s">
        <v>34</v>
      </c>
      <c r="B34" s="35"/>
      <c r="C34" s="9">
        <v>46</v>
      </c>
      <c r="D34" s="36"/>
      <c r="E34" s="35"/>
      <c r="F34" s="9">
        <v>15</v>
      </c>
      <c r="G34" s="36"/>
      <c r="H34" s="35"/>
      <c r="I34" s="9">
        <v>24</v>
      </c>
      <c r="J34" s="36"/>
      <c r="K34" s="35"/>
      <c r="L34" s="9">
        <v>34</v>
      </c>
      <c r="M34" s="36"/>
      <c r="N34" s="35"/>
      <c r="O34" s="9">
        <v>289</v>
      </c>
      <c r="P34" s="36"/>
      <c r="Q34" s="32"/>
      <c r="R34" s="32"/>
      <c r="S34" s="32"/>
      <c r="T34" s="32"/>
      <c r="U34" s="32"/>
      <c r="V34" s="32"/>
      <c r="W34" s="32"/>
      <c r="X34" s="32"/>
    </row>
    <row r="35" spans="1:24" x14ac:dyDescent="0.35">
      <c r="A35" s="13" t="s">
        <v>27</v>
      </c>
      <c r="B35" s="29">
        <v>1203</v>
      </c>
      <c r="C35" s="29">
        <f>SUM(C37:C38)</f>
        <v>435</v>
      </c>
      <c r="D35" s="37">
        <f>C35/B35</f>
        <v>0.36159600997506236</v>
      </c>
      <c r="E35" s="29">
        <v>2391</v>
      </c>
      <c r="F35" s="29">
        <f>SUM(F37:F38)</f>
        <v>185</v>
      </c>
      <c r="G35" s="37">
        <f>F35/E35</f>
        <v>7.7373483897950651E-2</v>
      </c>
      <c r="H35" s="29">
        <v>1650</v>
      </c>
      <c r="I35" s="29">
        <f>SUM(I37:I38)</f>
        <v>456</v>
      </c>
      <c r="J35" s="37">
        <f t="shared" si="13"/>
        <v>0.27636363636363637</v>
      </c>
      <c r="K35" s="29">
        <v>2538</v>
      </c>
      <c r="L35" s="29">
        <f>SUM(L37:L38)</f>
        <v>314</v>
      </c>
      <c r="M35" s="37">
        <f t="shared" si="14"/>
        <v>0.12371946414499606</v>
      </c>
      <c r="N35" s="29">
        <v>5073</v>
      </c>
      <c r="O35" s="29">
        <f>SUM(O37:O38)</f>
        <v>2069</v>
      </c>
      <c r="P35" s="37">
        <f t="shared" ref="P35:P36" si="16">O35/N35</f>
        <v>0.40784545633747288</v>
      </c>
      <c r="Q35" s="32"/>
      <c r="R35" s="32"/>
      <c r="S35" s="32"/>
      <c r="T35" s="32"/>
      <c r="U35" s="32"/>
      <c r="V35" s="32"/>
      <c r="W35" s="32"/>
      <c r="X35" s="32"/>
    </row>
    <row r="36" spans="1:24" x14ac:dyDescent="0.35">
      <c r="A36" s="8" t="s">
        <v>30</v>
      </c>
      <c r="B36" s="30">
        <f>SUM(B27:B35)</f>
        <v>3458</v>
      </c>
      <c r="C36" s="30">
        <f>SUM(C27:C35)</f>
        <v>1261</v>
      </c>
      <c r="D36" s="37">
        <f>C36/B36</f>
        <v>0.36466165413533835</v>
      </c>
      <c r="E36" s="30">
        <f>SUM(E27:E35)</f>
        <v>7167</v>
      </c>
      <c r="F36" s="30">
        <f>SUM(F27:F35)</f>
        <v>950</v>
      </c>
      <c r="G36" s="37">
        <f>F36/E36</f>
        <v>0.13255197432677551</v>
      </c>
      <c r="H36" s="30">
        <f>SUM(H27:H35)</f>
        <v>5024</v>
      </c>
      <c r="I36" s="30">
        <f>SUM(I27:I35)</f>
        <v>1640</v>
      </c>
      <c r="J36" s="37">
        <f t="shared" si="13"/>
        <v>0.32643312101910826</v>
      </c>
      <c r="K36" s="30">
        <f>SUM(K27:K35)</f>
        <v>9039</v>
      </c>
      <c r="L36" s="30">
        <f>SUM(L27:L35)</f>
        <v>1274</v>
      </c>
      <c r="M36" s="37">
        <f t="shared" si="14"/>
        <v>0.14094479477818342</v>
      </c>
      <c r="N36" s="30">
        <f>SUM(N27:N35)</f>
        <v>18068</v>
      </c>
      <c r="O36" s="30">
        <f>SUM(O27:O35)</f>
        <v>10206</v>
      </c>
      <c r="P36" s="37">
        <f t="shared" si="16"/>
        <v>0.56486606154527341</v>
      </c>
      <c r="Q36" s="32"/>
      <c r="R36" s="32"/>
      <c r="S36" s="32"/>
      <c r="T36" s="32"/>
      <c r="U36" s="32"/>
      <c r="V36" s="32"/>
      <c r="W36" s="32"/>
      <c r="X36" s="32"/>
    </row>
    <row r="37" spans="1:24" ht="15.5" customHeight="1" x14ac:dyDescent="0.35">
      <c r="B37" s="20"/>
      <c r="C37" s="15">
        <v>399</v>
      </c>
      <c r="D37" s="20"/>
      <c r="E37" s="20"/>
      <c r="F37" s="15">
        <v>173</v>
      </c>
      <c r="G37" s="20"/>
      <c r="H37" s="20"/>
      <c r="I37" s="15">
        <v>444</v>
      </c>
      <c r="J37" s="20"/>
      <c r="K37" s="20"/>
      <c r="L37" s="15">
        <v>301</v>
      </c>
      <c r="M37" s="20"/>
      <c r="N37" s="20"/>
      <c r="O37" s="15">
        <v>2064</v>
      </c>
      <c r="P37" s="20"/>
      <c r="Q37" s="32"/>
      <c r="R37" s="32"/>
      <c r="S37" s="32"/>
      <c r="T37" s="32"/>
      <c r="U37" s="32"/>
      <c r="V37" s="32"/>
      <c r="W37" s="32"/>
      <c r="X37" s="32"/>
    </row>
    <row r="38" spans="1:24" ht="18" customHeight="1" x14ac:dyDescent="0.35">
      <c r="B38" s="20"/>
      <c r="C38" s="49">
        <v>36</v>
      </c>
      <c r="D38" s="20"/>
      <c r="E38" s="20"/>
      <c r="F38" s="49">
        <v>12</v>
      </c>
      <c r="G38" s="20"/>
      <c r="H38" s="20"/>
      <c r="I38" s="49">
        <v>12</v>
      </c>
      <c r="J38" s="20"/>
      <c r="K38" s="20"/>
      <c r="L38" s="49">
        <v>13</v>
      </c>
      <c r="M38" s="20"/>
      <c r="N38" s="20"/>
      <c r="O38" s="49">
        <v>5</v>
      </c>
      <c r="P38" s="20"/>
      <c r="Q38" s="32"/>
      <c r="R38" s="32"/>
      <c r="S38" s="32"/>
      <c r="T38" s="32"/>
      <c r="U38" s="32"/>
      <c r="V38" s="32"/>
      <c r="W38" s="32"/>
      <c r="X38" s="32"/>
    </row>
    <row r="39" spans="1:24" x14ac:dyDescent="0.35">
      <c r="A39" s="78" t="s">
        <v>38</v>
      </c>
      <c r="B39" s="78"/>
      <c r="C39" s="78"/>
      <c r="D39" s="78"/>
      <c r="E39" s="78"/>
      <c r="F39" s="78"/>
      <c r="G39" s="78"/>
      <c r="H39" s="78"/>
      <c r="I39" s="78"/>
      <c r="J39" s="78"/>
      <c r="K39" s="25"/>
      <c r="L39" s="25"/>
      <c r="M39" s="25"/>
      <c r="N39" s="25"/>
      <c r="O39" s="25"/>
      <c r="P39" s="25"/>
      <c r="Q39" s="32"/>
      <c r="R39" s="32"/>
      <c r="S39" s="32"/>
      <c r="T39" s="32"/>
      <c r="U39" s="32"/>
      <c r="V39" s="32"/>
      <c r="W39" s="32"/>
      <c r="X39" s="32"/>
    </row>
    <row r="40" spans="1:24" x14ac:dyDescent="0.35">
      <c r="A40" s="78" t="s">
        <v>46</v>
      </c>
      <c r="B40" s="78"/>
      <c r="C40" s="78"/>
      <c r="D40" s="78"/>
      <c r="E40" s="78"/>
      <c r="F40" s="78"/>
      <c r="G40" s="78"/>
      <c r="H40" s="78"/>
      <c r="I40" s="78"/>
      <c r="J40" s="78"/>
      <c r="K40" s="25"/>
      <c r="L40" s="25"/>
      <c r="M40" s="25"/>
      <c r="N40" s="25"/>
      <c r="O40" s="25"/>
      <c r="P40" s="25"/>
      <c r="Q40" s="32"/>
      <c r="R40" s="32"/>
      <c r="S40" s="32"/>
      <c r="T40" s="32"/>
      <c r="U40" s="32"/>
      <c r="V40" s="32"/>
      <c r="W40" s="32"/>
      <c r="X40" s="32"/>
    </row>
    <row r="41" spans="1:24" x14ac:dyDescent="0.35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32"/>
      <c r="R41" s="32"/>
      <c r="S41" s="32"/>
      <c r="T41" s="32"/>
      <c r="U41" s="32"/>
      <c r="V41" s="32"/>
      <c r="W41" s="32"/>
      <c r="X41" s="32"/>
    </row>
    <row r="42" spans="1:24" x14ac:dyDescent="0.35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32"/>
      <c r="R42" s="32"/>
      <c r="S42" s="32"/>
      <c r="T42" s="32"/>
      <c r="U42" s="32"/>
      <c r="V42" s="32"/>
      <c r="W42" s="32"/>
      <c r="X42" s="32"/>
    </row>
    <row r="43" spans="1:24" x14ac:dyDescent="0.3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32"/>
      <c r="R43" s="32"/>
      <c r="S43" s="32"/>
      <c r="T43" s="32"/>
      <c r="U43" s="32"/>
      <c r="V43" s="32"/>
      <c r="W43" s="32"/>
      <c r="X43" s="32"/>
    </row>
    <row r="44" spans="1:24" x14ac:dyDescent="0.35">
      <c r="Q44" s="32"/>
      <c r="R44" s="32"/>
      <c r="S44" s="32"/>
      <c r="T44" s="32"/>
      <c r="U44" s="32"/>
      <c r="V44" s="32"/>
      <c r="W44" s="32"/>
      <c r="X44" s="32"/>
    </row>
  </sheetData>
  <mergeCells count="37">
    <mergeCell ref="A39:J39"/>
    <mergeCell ref="A40:J40"/>
    <mergeCell ref="C25:D25"/>
    <mergeCell ref="E25:E26"/>
    <mergeCell ref="F25:G25"/>
    <mergeCell ref="H25:H26"/>
    <mergeCell ref="I25:J25"/>
    <mergeCell ref="K24:P24"/>
    <mergeCell ref="R24:T25"/>
    <mergeCell ref="B25:B26"/>
    <mergeCell ref="K8:K9"/>
    <mergeCell ref="L8:M8"/>
    <mergeCell ref="N8:Q8"/>
    <mergeCell ref="R8:S8"/>
    <mergeCell ref="T8:U8"/>
    <mergeCell ref="L25:M25"/>
    <mergeCell ref="N25:N26"/>
    <mergeCell ref="O25:P25"/>
    <mergeCell ref="K25:K26"/>
    <mergeCell ref="A21:J21"/>
    <mergeCell ref="A22:J22"/>
    <mergeCell ref="A24:A26"/>
    <mergeCell ref="B24:D24"/>
    <mergeCell ref="E24:J24"/>
    <mergeCell ref="E1:Z6"/>
    <mergeCell ref="A7:A9"/>
    <mergeCell ref="B7:J7"/>
    <mergeCell ref="K7:Q7"/>
    <mergeCell ref="V7:Z7"/>
    <mergeCell ref="B8:B9"/>
    <mergeCell ref="C8:D8"/>
    <mergeCell ref="E8:F8"/>
    <mergeCell ref="G8:H8"/>
    <mergeCell ref="I8:J8"/>
    <mergeCell ref="W8:X8"/>
    <mergeCell ref="Y8:Z8"/>
    <mergeCell ref="V8:V9"/>
  </mergeCells>
  <conditionalFormatting sqref="B3">
    <cfRule type="iconSet" priority="1">
      <iconSet>
        <cfvo type="percent" val="0"/>
        <cfvo type="num" val="0.1333"/>
        <cfvo type="num" val="0.1583"/>
      </iconSet>
    </cfRule>
  </conditionalFormatting>
  <conditionalFormatting sqref="B4">
    <cfRule type="iconSet" priority="3">
      <iconSet>
        <cfvo type="percent" val="0"/>
        <cfvo type="num" val="0.1333"/>
        <cfvo type="num" val="0.1583"/>
      </iconSet>
    </cfRule>
  </conditionalFormatting>
  <conditionalFormatting sqref="C6 B3:B5">
    <cfRule type="iconSet" priority="2">
      <iconSet>
        <cfvo type="percent" val="0"/>
        <cfvo type="num" val="0.1333"/>
        <cfvo type="num" val="0.158"/>
      </iconSet>
    </cfRule>
  </conditionalFormatting>
  <conditionalFormatting sqref="C6 B5">
    <cfRule type="iconSet" priority="4">
      <iconSet>
        <cfvo type="percent" val="0"/>
        <cfvo type="num" val="0.1333"/>
        <cfvo type="num" val="0.1583"/>
      </iconSet>
    </cfRule>
  </conditionalFormatting>
  <conditionalFormatting sqref="D10:D18">
    <cfRule type="iconSet" priority="29">
      <iconSet>
        <cfvo type="percent" val="0"/>
        <cfvo type="num" val="0.33"/>
        <cfvo type="num" val="0.41499999999999998"/>
      </iconSet>
    </cfRule>
  </conditionalFormatting>
  <conditionalFormatting sqref="D27:D33">
    <cfRule type="iconSet" priority="18">
      <iconSet>
        <cfvo type="percent" val="0"/>
        <cfvo type="num" val="0.33"/>
        <cfvo type="num" val="0.41499999999999998"/>
      </iconSet>
    </cfRule>
  </conditionalFormatting>
  <conditionalFormatting sqref="D35:D36">
    <cfRule type="iconSet" priority="17">
      <iconSet>
        <cfvo type="percent" val="0"/>
        <cfvo type="num" val="0.33"/>
        <cfvo type="num" val="0.41499999999999998"/>
      </iconSet>
    </cfRule>
  </conditionalFormatting>
  <conditionalFormatting sqref="F10:F18">
    <cfRule type="iconSet" priority="28">
      <iconSet>
        <cfvo type="percent" val="0"/>
        <cfvo type="num" val="0.33"/>
        <cfvo type="num" val="0.41499999999999998"/>
      </iconSet>
    </cfRule>
  </conditionalFormatting>
  <conditionalFormatting sqref="G27:G33">
    <cfRule type="iconSet" priority="16">
      <iconSet>
        <cfvo type="percent" val="0"/>
        <cfvo type="num" val="0.33"/>
        <cfvo type="num" val="0.41499999999999998"/>
      </iconSet>
    </cfRule>
  </conditionalFormatting>
  <conditionalFormatting sqref="G35:G36">
    <cfRule type="iconSet" priority="12">
      <iconSet>
        <cfvo type="percent" val="0"/>
        <cfvo type="num" val="0.33"/>
        <cfvo type="num" val="0.41499999999999998"/>
      </iconSet>
    </cfRule>
  </conditionalFormatting>
  <conditionalFormatting sqref="H10:H18">
    <cfRule type="iconSet" priority="27">
      <iconSet>
        <cfvo type="percent" val="0"/>
        <cfvo type="num" val="0.33"/>
        <cfvo type="num" val="0.41499999999999998"/>
      </iconSet>
    </cfRule>
  </conditionalFormatting>
  <conditionalFormatting sqref="J10:J18">
    <cfRule type="iconSet" priority="26">
      <iconSet>
        <cfvo type="percent" val="0"/>
        <cfvo type="num" val="0.33"/>
        <cfvo type="num" val="0.41499999999999998"/>
      </iconSet>
    </cfRule>
  </conditionalFormatting>
  <conditionalFormatting sqref="J27:J33">
    <cfRule type="iconSet" priority="15">
      <iconSet>
        <cfvo type="percent" val="0"/>
        <cfvo type="num" val="0.33"/>
        <cfvo type="num" val="0.41499999999999998"/>
      </iconSet>
    </cfRule>
  </conditionalFormatting>
  <conditionalFormatting sqref="J35:J36">
    <cfRule type="iconSet" priority="11">
      <iconSet>
        <cfvo type="percent" val="0"/>
        <cfvo type="num" val="0.33"/>
        <cfvo type="num" val="0.41499999999999998"/>
      </iconSet>
    </cfRule>
  </conditionalFormatting>
  <conditionalFormatting sqref="M10:M18">
    <cfRule type="iconSet" priority="25">
      <iconSet>
        <cfvo type="percent" val="0"/>
        <cfvo type="num" val="0.33"/>
        <cfvo type="num" val="0.41499999999999998"/>
      </iconSet>
    </cfRule>
  </conditionalFormatting>
  <conditionalFormatting sqref="M27:M33">
    <cfRule type="iconSet" priority="14">
      <iconSet>
        <cfvo type="percent" val="0"/>
        <cfvo type="num" val="0.33"/>
        <cfvo type="num" val="0.41499999999999998"/>
      </iconSet>
    </cfRule>
  </conditionalFormatting>
  <conditionalFormatting sqref="M35:M36">
    <cfRule type="iconSet" priority="10">
      <iconSet>
        <cfvo type="percent" val="0"/>
        <cfvo type="num" val="0.33"/>
        <cfvo type="num" val="0.41499999999999998"/>
      </iconSet>
    </cfRule>
  </conditionalFormatting>
  <conditionalFormatting sqref="O10:O18">
    <cfRule type="iconSet" priority="24">
      <iconSet>
        <cfvo type="percent" val="0"/>
        <cfvo type="num" val="0.33"/>
        <cfvo type="num" val="0.41499999999999998"/>
      </iconSet>
    </cfRule>
  </conditionalFormatting>
  <conditionalFormatting sqref="P27:P33">
    <cfRule type="iconSet" priority="13">
      <iconSet>
        <cfvo type="percent" val="0"/>
        <cfvo type="num" val="0.33"/>
        <cfvo type="num" val="0.41499999999999998"/>
      </iconSet>
    </cfRule>
  </conditionalFormatting>
  <conditionalFormatting sqref="P35:P36">
    <cfRule type="iconSet" priority="9">
      <iconSet>
        <cfvo type="percent" val="0"/>
        <cfvo type="num" val="0.33"/>
        <cfvo type="num" val="0.41499999999999998"/>
      </iconSet>
    </cfRule>
  </conditionalFormatting>
  <conditionalFormatting sqref="Q10:Q18">
    <cfRule type="iconSet" priority="23">
      <iconSet>
        <cfvo type="percent" val="0"/>
        <cfvo type="num" val="0.33"/>
        <cfvo type="num" val="0.41499999999999998"/>
      </iconSet>
    </cfRule>
  </conditionalFormatting>
  <conditionalFormatting sqref="S10:S18">
    <cfRule type="iconSet" priority="22">
      <iconSet>
        <cfvo type="percent" val="0"/>
        <cfvo type="num" val="0.33"/>
        <cfvo type="num" val="0.41499999999999998"/>
      </iconSet>
    </cfRule>
  </conditionalFormatting>
  <conditionalFormatting sqref="S27">
    <cfRule type="iconSet" priority="5">
      <iconSet>
        <cfvo type="percent" val="0"/>
        <cfvo type="num" val="0.1333"/>
        <cfvo type="num" val="0.1583"/>
      </iconSet>
    </cfRule>
  </conditionalFormatting>
  <conditionalFormatting sqref="S27:S29">
    <cfRule type="iconSet" priority="6">
      <iconSet>
        <cfvo type="percent" val="0"/>
        <cfvo type="num" val="0.1333"/>
        <cfvo type="num" val="0.158"/>
      </iconSet>
    </cfRule>
  </conditionalFormatting>
  <conditionalFormatting sqref="S28">
    <cfRule type="iconSet" priority="7">
      <iconSet>
        <cfvo type="percent" val="0"/>
        <cfvo type="num" val="0.1333"/>
        <cfvo type="num" val="0.1583"/>
      </iconSet>
    </cfRule>
  </conditionalFormatting>
  <conditionalFormatting sqref="S29">
    <cfRule type="iconSet" priority="8">
      <iconSet>
        <cfvo type="percent" val="0"/>
        <cfvo type="num" val="0.1333"/>
        <cfvo type="num" val="0.1583"/>
      </iconSet>
    </cfRule>
  </conditionalFormatting>
  <conditionalFormatting sqref="U10:U18">
    <cfRule type="iconSet" priority="21">
      <iconSet>
        <cfvo type="percent" val="0"/>
        <cfvo type="num" val="0.33"/>
        <cfvo type="num" val="0.41499999999999998"/>
      </iconSet>
    </cfRule>
  </conditionalFormatting>
  <conditionalFormatting sqref="X10:X18">
    <cfRule type="iconSet" priority="20">
      <iconSet>
        <cfvo type="percent" val="0"/>
        <cfvo type="num" val="0.33"/>
        <cfvo type="num" val="0.41499999999999998"/>
      </iconSet>
    </cfRule>
  </conditionalFormatting>
  <conditionalFormatting sqref="Z10:Z18">
    <cfRule type="iconSet" priority="19">
      <iconSet>
        <cfvo type="percent" val="0"/>
        <cfvo type="num" val="0.33"/>
        <cfvo type="num" val="0.41499999999999998"/>
      </iconSet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75B4C-905A-4433-9B4B-7DD5D130CBB0}">
  <dimension ref="A1:Z44"/>
  <sheetViews>
    <sheetView zoomScale="90" zoomScaleNormal="90" workbookViewId="0">
      <selection activeCell="G11" sqref="G11"/>
    </sheetView>
  </sheetViews>
  <sheetFormatPr baseColWidth="10" defaultRowHeight="14.5" x14ac:dyDescent="0.35"/>
  <cols>
    <col min="1" max="1" width="15.81640625" customWidth="1"/>
    <col min="2" max="2" width="6.1796875" style="31" customWidth="1"/>
    <col min="3" max="3" width="6.1796875" customWidth="1"/>
    <col min="4" max="4" width="7.08984375" customWidth="1"/>
    <col min="5" max="5" width="6.1796875" customWidth="1"/>
    <col min="6" max="6" width="6.7265625" customWidth="1"/>
    <col min="7" max="7" width="6.1796875" customWidth="1"/>
    <col min="8" max="8" width="7.1796875" customWidth="1"/>
    <col min="9" max="9" width="6.81640625" customWidth="1"/>
    <col min="10" max="10" width="7.08984375" customWidth="1"/>
    <col min="11" max="11" width="5.7265625" customWidth="1"/>
    <col min="12" max="12" width="6.81640625" customWidth="1"/>
    <col min="13" max="13" width="7.6328125" customWidth="1"/>
    <col min="14" max="14" width="6.36328125" customWidth="1"/>
    <col min="15" max="15" width="7.26953125" customWidth="1"/>
    <col min="16" max="16" width="6.54296875" customWidth="1"/>
    <col min="17" max="17" width="8.90625" customWidth="1"/>
    <col min="18" max="18" width="7.81640625" customWidth="1"/>
    <col min="19" max="19" width="6.54296875" customWidth="1"/>
    <col min="20" max="20" width="6.08984375" customWidth="1"/>
    <col min="21" max="21" width="7.26953125" customWidth="1"/>
    <col min="22" max="22" width="5.90625" customWidth="1"/>
    <col min="23" max="23" width="6.81640625" customWidth="1"/>
    <col min="24" max="24" width="6.6328125" customWidth="1"/>
    <col min="25" max="25" width="6.08984375" customWidth="1"/>
    <col min="26" max="26" width="7.36328125" customWidth="1"/>
  </cols>
  <sheetData>
    <row r="1" spans="1:26" s="32" customFormat="1" ht="22" customHeight="1" x14ac:dyDescent="0.35">
      <c r="A1" s="45" t="s">
        <v>43</v>
      </c>
      <c r="B1" s="46"/>
      <c r="C1" s="45"/>
      <c r="D1" s="45"/>
      <c r="E1" s="94" t="s">
        <v>37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s="32" customFormat="1" ht="5.5" customHeight="1" x14ac:dyDescent="0.35">
      <c r="A2" s="45"/>
      <c r="B2" s="46"/>
      <c r="C2" s="45"/>
      <c r="D2" s="45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14.5" customHeight="1" x14ac:dyDescent="0.35">
      <c r="A3" s="38"/>
      <c r="B3" s="39" t="s">
        <v>40</v>
      </c>
      <c r="D3" s="32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14.5" customHeight="1" x14ac:dyDescent="0.4">
      <c r="A4" s="40"/>
      <c r="B4" s="41" t="s">
        <v>41</v>
      </c>
      <c r="C4" s="32"/>
      <c r="D4" s="32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14.5" customHeight="1" x14ac:dyDescent="0.4">
      <c r="A5" s="42"/>
      <c r="B5" s="41" t="s">
        <v>42</v>
      </c>
      <c r="D5" s="32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s="32" customFormat="1" ht="9" customHeight="1" x14ac:dyDescent="0.4">
      <c r="A6" s="43"/>
      <c r="B6" s="44"/>
      <c r="C6" s="41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4.5" customHeight="1" x14ac:dyDescent="0.35">
      <c r="A7" s="86" t="s">
        <v>36</v>
      </c>
      <c r="B7" s="97" t="s">
        <v>0</v>
      </c>
      <c r="C7" s="98"/>
      <c r="D7" s="98"/>
      <c r="E7" s="98"/>
      <c r="F7" s="98"/>
      <c r="G7" s="98"/>
      <c r="H7" s="98"/>
      <c r="I7" s="98"/>
      <c r="J7" s="99"/>
      <c r="K7" s="59" t="s">
        <v>1</v>
      </c>
      <c r="L7" s="73"/>
      <c r="M7" s="73"/>
      <c r="N7" s="73"/>
      <c r="O7" s="73"/>
      <c r="P7" s="73"/>
      <c r="Q7" s="73"/>
      <c r="R7" s="51"/>
      <c r="S7" s="51"/>
      <c r="T7" s="51"/>
      <c r="U7" s="52"/>
      <c r="V7" s="70" t="s">
        <v>2</v>
      </c>
      <c r="W7" s="72"/>
      <c r="X7" s="72"/>
      <c r="Y7" s="72"/>
      <c r="Z7" s="71"/>
    </row>
    <row r="8" spans="1:26" x14ac:dyDescent="0.35">
      <c r="A8" s="87"/>
      <c r="B8" s="100" t="s">
        <v>22</v>
      </c>
      <c r="C8" s="97" t="s">
        <v>7</v>
      </c>
      <c r="D8" s="99"/>
      <c r="E8" s="97" t="s">
        <v>8</v>
      </c>
      <c r="F8" s="99"/>
      <c r="G8" s="97" t="s">
        <v>9</v>
      </c>
      <c r="H8" s="99"/>
      <c r="I8" s="97" t="s">
        <v>10</v>
      </c>
      <c r="J8" s="99"/>
      <c r="K8" s="91" t="s">
        <v>22</v>
      </c>
      <c r="L8" s="59" t="s">
        <v>11</v>
      </c>
      <c r="M8" s="60"/>
      <c r="N8" s="59" t="s">
        <v>12</v>
      </c>
      <c r="O8" s="73"/>
      <c r="P8" s="73"/>
      <c r="Q8" s="60"/>
      <c r="R8" s="59" t="s">
        <v>13</v>
      </c>
      <c r="S8" s="60"/>
      <c r="T8" s="59" t="s">
        <v>7</v>
      </c>
      <c r="U8" s="60"/>
      <c r="V8" s="81" t="s">
        <v>22</v>
      </c>
      <c r="W8" s="70" t="s">
        <v>13</v>
      </c>
      <c r="X8" s="71"/>
      <c r="Y8" s="70" t="s">
        <v>14</v>
      </c>
      <c r="Z8" s="71"/>
    </row>
    <row r="9" spans="1:26" ht="27.5" customHeight="1" x14ac:dyDescent="0.35">
      <c r="A9" s="88"/>
      <c r="B9" s="101"/>
      <c r="C9" s="56" t="s">
        <v>16</v>
      </c>
      <c r="D9" s="56" t="s">
        <v>33</v>
      </c>
      <c r="E9" s="56" t="s">
        <v>17</v>
      </c>
      <c r="F9" s="56" t="s">
        <v>33</v>
      </c>
      <c r="G9" s="56" t="s">
        <v>16</v>
      </c>
      <c r="H9" s="56" t="s">
        <v>33</v>
      </c>
      <c r="I9" s="56" t="s">
        <v>17</v>
      </c>
      <c r="J9" s="56" t="s">
        <v>33</v>
      </c>
      <c r="K9" s="92"/>
      <c r="L9" s="1" t="s">
        <v>16</v>
      </c>
      <c r="M9" s="1" t="s">
        <v>33</v>
      </c>
      <c r="N9" s="1" t="s">
        <v>18</v>
      </c>
      <c r="O9" s="1" t="s">
        <v>33</v>
      </c>
      <c r="P9" s="1" t="s">
        <v>17</v>
      </c>
      <c r="Q9" s="1" t="s">
        <v>33</v>
      </c>
      <c r="R9" s="1" t="s">
        <v>20</v>
      </c>
      <c r="S9" s="1" t="s">
        <v>33</v>
      </c>
      <c r="T9" s="1" t="s">
        <v>20</v>
      </c>
      <c r="U9" s="1" t="s">
        <v>33</v>
      </c>
      <c r="V9" s="82"/>
      <c r="W9" s="3" t="s">
        <v>21</v>
      </c>
      <c r="X9" s="3" t="s">
        <v>33</v>
      </c>
      <c r="Y9" s="3" t="s">
        <v>21</v>
      </c>
      <c r="Z9" s="3" t="s">
        <v>33</v>
      </c>
    </row>
    <row r="10" spans="1:26" x14ac:dyDescent="0.35">
      <c r="A10" s="7" t="s">
        <v>23</v>
      </c>
      <c r="B10" s="9">
        <v>442</v>
      </c>
      <c r="C10" s="26">
        <v>120</v>
      </c>
      <c r="D10" s="37">
        <f>C10/B10</f>
        <v>0.27149321266968324</v>
      </c>
      <c r="E10" s="26">
        <v>120</v>
      </c>
      <c r="F10" s="37">
        <f>E10/B10</f>
        <v>0.27149321266968324</v>
      </c>
      <c r="G10" s="26">
        <v>120</v>
      </c>
      <c r="H10" s="37">
        <f>G10/B10</f>
        <v>0.27149321266968324</v>
      </c>
      <c r="I10" s="26">
        <v>122</v>
      </c>
      <c r="J10" s="37">
        <f>I10/B10</f>
        <v>0.27601809954751133</v>
      </c>
      <c r="K10" s="26">
        <v>595</v>
      </c>
      <c r="L10" s="27">
        <v>151</v>
      </c>
      <c r="M10" s="37">
        <f>L10/K10</f>
        <v>0.253781512605042</v>
      </c>
      <c r="N10" s="27">
        <v>151</v>
      </c>
      <c r="O10" s="37">
        <f>N10/K10</f>
        <v>0.253781512605042</v>
      </c>
      <c r="P10" s="26">
        <v>151</v>
      </c>
      <c r="Q10" s="37">
        <f>P10/K10</f>
        <v>0.253781512605042</v>
      </c>
      <c r="R10" s="26">
        <v>113</v>
      </c>
      <c r="S10" s="37">
        <f t="shared" ref="S10:S18" si="0">R10/K10</f>
        <v>0.18991596638655461</v>
      </c>
      <c r="T10" s="26">
        <v>160</v>
      </c>
      <c r="U10" s="37">
        <f>T10/K10</f>
        <v>0.26890756302521007</v>
      </c>
      <c r="V10" s="26">
        <v>734</v>
      </c>
      <c r="W10" s="26">
        <v>206</v>
      </c>
      <c r="X10" s="37">
        <f>W10/V10</f>
        <v>0.28065395095367845</v>
      </c>
      <c r="Y10" s="26">
        <v>200</v>
      </c>
      <c r="Z10" s="37">
        <f>Y10/V10</f>
        <v>0.27247956403269757</v>
      </c>
    </row>
    <row r="11" spans="1:26" x14ac:dyDescent="0.35">
      <c r="A11" s="7" t="s">
        <v>24</v>
      </c>
      <c r="B11" s="9">
        <v>635</v>
      </c>
      <c r="C11" s="27">
        <v>194</v>
      </c>
      <c r="D11" s="37">
        <f t="shared" ref="D11:D18" si="1">C11/B11</f>
        <v>0.30551181102362207</v>
      </c>
      <c r="E11" s="27">
        <v>190</v>
      </c>
      <c r="F11" s="37">
        <f t="shared" ref="F11:F18" si="2">E11/B11</f>
        <v>0.29921259842519687</v>
      </c>
      <c r="G11" s="27">
        <v>193</v>
      </c>
      <c r="H11" s="37">
        <f t="shared" ref="H11:H18" si="3">G11/B11</f>
        <v>0.30393700787401573</v>
      </c>
      <c r="I11" s="27">
        <v>188</v>
      </c>
      <c r="J11" s="37">
        <f t="shared" ref="J11:J18" si="4">I11/B11</f>
        <v>0.29606299212598425</v>
      </c>
      <c r="K11" s="26">
        <v>711</v>
      </c>
      <c r="L11" s="27">
        <v>207</v>
      </c>
      <c r="M11" s="37">
        <f t="shared" ref="M11:M18" si="5">L11/K11</f>
        <v>0.29113924050632911</v>
      </c>
      <c r="N11" s="27">
        <v>214</v>
      </c>
      <c r="O11" s="37">
        <f t="shared" ref="O11:O18" si="6">N11/K11</f>
        <v>0.3009845288326301</v>
      </c>
      <c r="P11" s="26">
        <v>168</v>
      </c>
      <c r="Q11" s="37">
        <f t="shared" ref="Q11:Q18" si="7">P11/K11</f>
        <v>0.23628691983122363</v>
      </c>
      <c r="R11" s="26">
        <v>131</v>
      </c>
      <c r="S11" s="37">
        <f t="shared" si="0"/>
        <v>0.18424753867791843</v>
      </c>
      <c r="T11" s="26">
        <v>192</v>
      </c>
      <c r="U11" s="37">
        <f t="shared" ref="U11:U18" si="8">T11/K11</f>
        <v>0.27004219409282698</v>
      </c>
      <c r="V11" s="26">
        <v>806</v>
      </c>
      <c r="W11" s="26">
        <v>229</v>
      </c>
      <c r="X11" s="37">
        <f t="shared" ref="X11:X18" si="9">W11/V11</f>
        <v>0.28411910669975188</v>
      </c>
      <c r="Y11" s="26">
        <v>222</v>
      </c>
      <c r="Z11" s="37">
        <f t="shared" ref="Z11:Z18" si="10">Y11/V11</f>
        <v>0.27543424317617865</v>
      </c>
    </row>
    <row r="12" spans="1:26" x14ac:dyDescent="0.35">
      <c r="A12" s="7" t="s">
        <v>25</v>
      </c>
      <c r="B12" s="9">
        <v>130</v>
      </c>
      <c r="C12" s="53">
        <v>38</v>
      </c>
      <c r="D12" s="54">
        <f t="shared" si="1"/>
        <v>0.29230769230769232</v>
      </c>
      <c r="E12" s="27">
        <v>34</v>
      </c>
      <c r="F12" s="37">
        <f t="shared" si="2"/>
        <v>0.26153846153846155</v>
      </c>
      <c r="G12" s="53">
        <v>38</v>
      </c>
      <c r="H12" s="54">
        <f t="shared" si="3"/>
        <v>0.29230769230769232</v>
      </c>
      <c r="I12" s="27">
        <v>35</v>
      </c>
      <c r="J12" s="37">
        <f t="shared" si="4"/>
        <v>0.26923076923076922</v>
      </c>
      <c r="K12" s="26">
        <v>161</v>
      </c>
      <c r="L12" s="27">
        <v>48</v>
      </c>
      <c r="M12" s="37">
        <f t="shared" si="5"/>
        <v>0.29813664596273293</v>
      </c>
      <c r="N12" s="27">
        <v>49</v>
      </c>
      <c r="O12" s="37">
        <f t="shared" si="6"/>
        <v>0.30434782608695654</v>
      </c>
      <c r="P12" s="53">
        <v>45</v>
      </c>
      <c r="Q12" s="54">
        <f t="shared" si="7"/>
        <v>0.27950310559006208</v>
      </c>
      <c r="R12" s="53">
        <v>29</v>
      </c>
      <c r="S12" s="54">
        <f t="shared" si="0"/>
        <v>0.18012422360248448</v>
      </c>
      <c r="T12" s="53">
        <v>46</v>
      </c>
      <c r="U12" s="54">
        <f t="shared" si="8"/>
        <v>0.2857142857142857</v>
      </c>
      <c r="V12" s="26">
        <v>221</v>
      </c>
      <c r="W12" s="26">
        <v>72</v>
      </c>
      <c r="X12" s="37">
        <f t="shared" si="9"/>
        <v>0.32579185520361992</v>
      </c>
      <c r="Y12" s="26">
        <v>71</v>
      </c>
      <c r="Z12" s="37">
        <f t="shared" si="10"/>
        <v>0.32126696832579188</v>
      </c>
    </row>
    <row r="13" spans="1:26" x14ac:dyDescent="0.35">
      <c r="A13" s="7" t="s">
        <v>26</v>
      </c>
      <c r="B13" s="9">
        <v>402</v>
      </c>
      <c r="C13" s="27">
        <v>145</v>
      </c>
      <c r="D13" s="37">
        <f t="shared" si="1"/>
        <v>0.36069651741293535</v>
      </c>
      <c r="E13" s="27">
        <v>130</v>
      </c>
      <c r="F13" s="37">
        <f t="shared" si="2"/>
        <v>0.32338308457711445</v>
      </c>
      <c r="G13" s="27">
        <v>146</v>
      </c>
      <c r="H13" s="37">
        <f t="shared" si="3"/>
        <v>0.36318407960199006</v>
      </c>
      <c r="I13" s="27">
        <v>130</v>
      </c>
      <c r="J13" s="37">
        <f t="shared" si="4"/>
        <v>0.32338308457711445</v>
      </c>
      <c r="K13" s="26">
        <v>489</v>
      </c>
      <c r="L13" s="27">
        <v>148</v>
      </c>
      <c r="M13" s="37">
        <f t="shared" si="5"/>
        <v>0.30265848670756645</v>
      </c>
      <c r="N13" s="27">
        <v>154</v>
      </c>
      <c r="O13" s="37">
        <f t="shared" si="6"/>
        <v>0.31492842535787319</v>
      </c>
      <c r="P13" s="26">
        <v>124</v>
      </c>
      <c r="Q13" s="37">
        <f t="shared" si="7"/>
        <v>0.25357873210633947</v>
      </c>
      <c r="R13" s="26">
        <v>98</v>
      </c>
      <c r="S13" s="37">
        <f t="shared" si="0"/>
        <v>0.20040899795501022</v>
      </c>
      <c r="T13" s="26">
        <v>120</v>
      </c>
      <c r="U13" s="37">
        <f t="shared" si="8"/>
        <v>0.24539877300613497</v>
      </c>
      <c r="V13" s="26">
        <v>676</v>
      </c>
      <c r="W13" s="26">
        <v>175</v>
      </c>
      <c r="X13" s="37">
        <f t="shared" si="9"/>
        <v>0.2588757396449704</v>
      </c>
      <c r="Y13" s="26">
        <v>177</v>
      </c>
      <c r="Z13" s="37">
        <f t="shared" si="10"/>
        <v>0.26183431952662722</v>
      </c>
    </row>
    <row r="14" spans="1:26" x14ac:dyDescent="0.35">
      <c r="A14" s="7" t="s">
        <v>28</v>
      </c>
      <c r="B14" s="9">
        <v>132</v>
      </c>
      <c r="C14" s="27">
        <v>64</v>
      </c>
      <c r="D14" s="37">
        <f t="shared" si="1"/>
        <v>0.48484848484848486</v>
      </c>
      <c r="E14" s="27">
        <v>57</v>
      </c>
      <c r="F14" s="37">
        <f t="shared" si="2"/>
        <v>0.43181818181818182</v>
      </c>
      <c r="G14" s="27">
        <v>64</v>
      </c>
      <c r="H14" s="37">
        <f t="shared" si="3"/>
        <v>0.48484848484848486</v>
      </c>
      <c r="I14" s="27">
        <v>57</v>
      </c>
      <c r="J14" s="37">
        <f t="shared" si="4"/>
        <v>0.43181818181818182</v>
      </c>
      <c r="K14" s="26">
        <v>167</v>
      </c>
      <c r="L14" s="27">
        <v>47</v>
      </c>
      <c r="M14" s="37">
        <f t="shared" si="5"/>
        <v>0.28143712574850299</v>
      </c>
      <c r="N14" s="27">
        <v>47</v>
      </c>
      <c r="O14" s="37">
        <f t="shared" si="6"/>
        <v>0.28143712574850299</v>
      </c>
      <c r="P14" s="26">
        <v>34</v>
      </c>
      <c r="Q14" s="37">
        <f t="shared" si="7"/>
        <v>0.20359281437125748</v>
      </c>
      <c r="R14" s="53">
        <v>18</v>
      </c>
      <c r="S14" s="54">
        <f t="shared" si="0"/>
        <v>0.10778443113772455</v>
      </c>
      <c r="T14" s="26">
        <v>37</v>
      </c>
      <c r="U14" s="37">
        <f t="shared" si="8"/>
        <v>0.22155688622754491</v>
      </c>
      <c r="V14" s="26">
        <v>255</v>
      </c>
      <c r="W14" s="53">
        <v>88</v>
      </c>
      <c r="X14" s="54">
        <f t="shared" si="9"/>
        <v>0.34509803921568627</v>
      </c>
      <c r="Y14" s="53">
        <v>87</v>
      </c>
      <c r="Z14" s="54">
        <f t="shared" si="10"/>
        <v>0.3411764705882353</v>
      </c>
    </row>
    <row r="15" spans="1:26" x14ac:dyDescent="0.35">
      <c r="A15" s="7" t="s">
        <v>29</v>
      </c>
      <c r="B15" s="9">
        <v>945</v>
      </c>
      <c r="C15" s="27">
        <v>316</v>
      </c>
      <c r="D15" s="37">
        <f t="shared" si="1"/>
        <v>0.33439153439153441</v>
      </c>
      <c r="E15" s="27">
        <v>327</v>
      </c>
      <c r="F15" s="37">
        <f t="shared" si="2"/>
        <v>0.34603174603174602</v>
      </c>
      <c r="G15" s="27">
        <v>317</v>
      </c>
      <c r="H15" s="37">
        <f t="shared" si="3"/>
        <v>0.33544973544973544</v>
      </c>
      <c r="I15" s="27">
        <v>333</v>
      </c>
      <c r="J15" s="37">
        <f t="shared" si="4"/>
        <v>0.35238095238095241</v>
      </c>
      <c r="K15" s="26">
        <v>1174</v>
      </c>
      <c r="L15" s="27">
        <v>361</v>
      </c>
      <c r="M15" s="37">
        <f t="shared" si="5"/>
        <v>0.30749574105621807</v>
      </c>
      <c r="N15" s="27">
        <v>365</v>
      </c>
      <c r="O15" s="37">
        <f t="shared" si="6"/>
        <v>0.31090289608177174</v>
      </c>
      <c r="P15" s="26">
        <v>312</v>
      </c>
      <c r="Q15" s="37">
        <f t="shared" si="7"/>
        <v>0.26575809199318567</v>
      </c>
      <c r="R15" s="26">
        <v>190</v>
      </c>
      <c r="S15" s="37">
        <f t="shared" si="0"/>
        <v>0.16183986371379896</v>
      </c>
      <c r="T15" s="26">
        <v>328</v>
      </c>
      <c r="U15" s="37">
        <f t="shared" si="8"/>
        <v>0.27938671209540034</v>
      </c>
      <c r="V15" s="26">
        <v>1562</v>
      </c>
      <c r="W15" s="26">
        <v>518</v>
      </c>
      <c r="X15" s="37">
        <f t="shared" si="9"/>
        <v>0.33162612035851474</v>
      </c>
      <c r="Y15" s="26">
        <v>505</v>
      </c>
      <c r="Z15" s="37">
        <f t="shared" si="10"/>
        <v>0.32330345710627401</v>
      </c>
    </row>
    <row r="16" spans="1:26" x14ac:dyDescent="0.35">
      <c r="A16" s="7" t="s">
        <v>34</v>
      </c>
      <c r="B16" s="9">
        <v>321</v>
      </c>
      <c r="C16" s="53">
        <v>54</v>
      </c>
      <c r="D16" s="54">
        <f t="shared" si="1"/>
        <v>0.16822429906542055</v>
      </c>
      <c r="E16" s="53">
        <v>62</v>
      </c>
      <c r="F16" s="54">
        <f t="shared" si="2"/>
        <v>0.19314641744548286</v>
      </c>
      <c r="G16" s="53">
        <v>55</v>
      </c>
      <c r="H16" s="54">
        <f t="shared" si="3"/>
        <v>0.17133956386292834</v>
      </c>
      <c r="I16" s="53">
        <v>62</v>
      </c>
      <c r="J16" s="54">
        <f t="shared" si="4"/>
        <v>0.19314641744548286</v>
      </c>
      <c r="K16" s="26">
        <v>327</v>
      </c>
      <c r="L16" s="53">
        <v>65</v>
      </c>
      <c r="M16" s="54">
        <f t="shared" si="5"/>
        <v>0.19877675840978593</v>
      </c>
      <c r="N16" s="53">
        <v>66</v>
      </c>
      <c r="O16" s="54">
        <f t="shared" si="6"/>
        <v>0.20183486238532111</v>
      </c>
      <c r="P16" s="53">
        <v>34</v>
      </c>
      <c r="Q16" s="54">
        <f t="shared" si="7"/>
        <v>0.10397553516819572</v>
      </c>
      <c r="R16" s="53">
        <v>32</v>
      </c>
      <c r="S16" s="54">
        <f t="shared" si="0"/>
        <v>9.7859327217125383E-2</v>
      </c>
      <c r="T16" s="53">
        <v>47</v>
      </c>
      <c r="U16" s="54">
        <f t="shared" si="8"/>
        <v>0.14373088685015289</v>
      </c>
      <c r="V16" s="26">
        <v>436</v>
      </c>
      <c r="W16" s="53">
        <v>53</v>
      </c>
      <c r="X16" s="54">
        <f t="shared" si="9"/>
        <v>0.12155963302752294</v>
      </c>
      <c r="Y16" s="53">
        <v>55</v>
      </c>
      <c r="Z16" s="54">
        <f t="shared" si="10"/>
        <v>0.12614678899082568</v>
      </c>
    </row>
    <row r="17" spans="1:26" x14ac:dyDescent="0.35">
      <c r="A17" s="13" t="s">
        <v>27</v>
      </c>
      <c r="B17" s="29">
        <v>1222</v>
      </c>
      <c r="C17" s="27">
        <f>SUM(C19:C20)</f>
        <v>387</v>
      </c>
      <c r="D17" s="37">
        <f t="shared" si="1"/>
        <v>0.31669394435351883</v>
      </c>
      <c r="E17" s="27">
        <f>SUM(E19:E20)</f>
        <v>397</v>
      </c>
      <c r="F17" s="37">
        <f t="shared" si="2"/>
        <v>0.32487725040916532</v>
      </c>
      <c r="G17" s="27">
        <f>SUM(G19:G20)</f>
        <v>385</v>
      </c>
      <c r="H17" s="37">
        <f t="shared" si="3"/>
        <v>0.31505728314238951</v>
      </c>
      <c r="I17" s="27">
        <f>SUM(I19:I20)</f>
        <v>405</v>
      </c>
      <c r="J17" s="37">
        <f t="shared" si="4"/>
        <v>0.33142389525368249</v>
      </c>
      <c r="K17" s="27">
        <v>1482</v>
      </c>
      <c r="L17" s="27">
        <f>SUM(L19:L20)</f>
        <v>469</v>
      </c>
      <c r="M17" s="37">
        <f t="shared" si="5"/>
        <v>0.31646423751686908</v>
      </c>
      <c r="N17" s="27">
        <f>SUM(N19:N20)</f>
        <v>480</v>
      </c>
      <c r="O17" s="37">
        <f t="shared" si="6"/>
        <v>0.32388663967611336</v>
      </c>
      <c r="P17" s="27">
        <f>SUM(P19:P20)</f>
        <v>381</v>
      </c>
      <c r="Q17" s="37">
        <f t="shared" si="7"/>
        <v>0.25708502024291496</v>
      </c>
      <c r="R17" s="53">
        <f>SUM(R19:R20)</f>
        <v>269</v>
      </c>
      <c r="S17" s="54">
        <f t="shared" si="0"/>
        <v>0.18151147098515519</v>
      </c>
      <c r="T17" s="27">
        <f>SUM(T19:T20)</f>
        <v>438</v>
      </c>
      <c r="U17" s="37">
        <f t="shared" si="8"/>
        <v>0.29554655870445345</v>
      </c>
      <c r="V17" s="27">
        <v>2023</v>
      </c>
      <c r="W17" s="27">
        <f>SUM(W19:W20)</f>
        <v>622</v>
      </c>
      <c r="X17" s="37">
        <f t="shared" si="9"/>
        <v>0.30746416213544242</v>
      </c>
      <c r="Y17" s="27">
        <f>SUM(Y19:Y20)</f>
        <v>621</v>
      </c>
      <c r="Z17" s="37">
        <f t="shared" si="10"/>
        <v>0.30696984676223432</v>
      </c>
    </row>
    <row r="18" spans="1:26" ht="14" customHeight="1" x14ac:dyDescent="0.35">
      <c r="A18" s="8" t="s">
        <v>30</v>
      </c>
      <c r="B18" s="30">
        <f>SUM(B10:B17)</f>
        <v>4229</v>
      </c>
      <c r="C18" s="28">
        <f>SUM(C10:C17)</f>
        <v>1318</v>
      </c>
      <c r="D18" s="37">
        <f t="shared" si="1"/>
        <v>0.31165760227004019</v>
      </c>
      <c r="E18" s="28">
        <f>SUM(E10:E17)</f>
        <v>1317</v>
      </c>
      <c r="F18" s="37">
        <f t="shared" si="2"/>
        <v>0.31142113974934971</v>
      </c>
      <c r="G18" s="28">
        <f>SUM(G10:G17)</f>
        <v>1318</v>
      </c>
      <c r="H18" s="37">
        <f t="shared" si="3"/>
        <v>0.31165760227004019</v>
      </c>
      <c r="I18" s="28">
        <f>SUM(I10:I17)</f>
        <v>1332</v>
      </c>
      <c r="J18" s="37">
        <f t="shared" si="4"/>
        <v>0.31496807755970679</v>
      </c>
      <c r="K18" s="28">
        <f>SUM(K10:K17)</f>
        <v>5106</v>
      </c>
      <c r="L18" s="28">
        <f>SUM(L10:L17)</f>
        <v>1496</v>
      </c>
      <c r="M18" s="37">
        <f t="shared" si="5"/>
        <v>0.29298864081472775</v>
      </c>
      <c r="N18" s="28">
        <f>SUM(N10:N17)</f>
        <v>1526</v>
      </c>
      <c r="O18" s="37">
        <f t="shared" si="6"/>
        <v>0.2988640814727771</v>
      </c>
      <c r="P18" s="28">
        <f>SUM(P10:P17)</f>
        <v>1249</v>
      </c>
      <c r="Q18" s="37">
        <f t="shared" si="7"/>
        <v>0.24461417939678809</v>
      </c>
      <c r="R18" s="28">
        <f>SUM(R10:R17)</f>
        <v>880</v>
      </c>
      <c r="S18" s="37">
        <f t="shared" si="0"/>
        <v>0.17234625930278105</v>
      </c>
      <c r="T18" s="28">
        <f>SUM(T10:T17)</f>
        <v>1368</v>
      </c>
      <c r="U18" s="37">
        <f t="shared" si="8"/>
        <v>0.26792009400705052</v>
      </c>
      <c r="V18" s="28">
        <f>SUM(V10:V17)</f>
        <v>6713</v>
      </c>
      <c r="W18" s="28">
        <f>SUM(W10:W17)</f>
        <v>1963</v>
      </c>
      <c r="X18" s="37">
        <f t="shared" si="9"/>
        <v>0.29241769700580961</v>
      </c>
      <c r="Y18" s="28">
        <f>SUM(Y10:Y17)</f>
        <v>1938</v>
      </c>
      <c r="Z18" s="37">
        <f t="shared" si="10"/>
        <v>0.28869357962162967</v>
      </c>
    </row>
    <row r="19" spans="1:26" ht="14.5" hidden="1" customHeight="1" x14ac:dyDescent="0.35">
      <c r="A19" s="20"/>
      <c r="B19" s="22"/>
      <c r="C19" s="23">
        <v>355</v>
      </c>
      <c r="D19" s="20"/>
      <c r="E19" s="20">
        <v>370</v>
      </c>
      <c r="F19" s="20"/>
      <c r="G19" s="50">
        <v>353</v>
      </c>
      <c r="H19" s="20"/>
      <c r="I19" s="15">
        <v>378</v>
      </c>
      <c r="J19" s="20"/>
      <c r="K19" s="20"/>
      <c r="L19" s="15">
        <v>429</v>
      </c>
      <c r="M19" s="20"/>
      <c r="N19" s="15">
        <v>440</v>
      </c>
      <c r="O19" s="20"/>
      <c r="P19" s="15">
        <v>358</v>
      </c>
      <c r="Q19" s="20"/>
      <c r="R19" s="15">
        <v>247</v>
      </c>
      <c r="S19" s="20"/>
      <c r="T19" s="15">
        <v>407</v>
      </c>
      <c r="U19" s="20"/>
      <c r="V19" s="20"/>
      <c r="W19" s="15">
        <v>566</v>
      </c>
      <c r="X19" s="20"/>
      <c r="Y19" s="15">
        <v>565</v>
      </c>
      <c r="Z19" s="20"/>
    </row>
    <row r="20" spans="1:26" ht="14.5" hidden="1" customHeight="1" x14ac:dyDescent="0.35">
      <c r="A20" s="20"/>
      <c r="B20" s="22"/>
      <c r="C20" s="48">
        <v>32</v>
      </c>
      <c r="D20" s="20"/>
      <c r="E20" s="48">
        <v>27</v>
      </c>
      <c r="F20" s="20"/>
      <c r="G20" s="48">
        <v>32</v>
      </c>
      <c r="H20" s="20"/>
      <c r="I20" s="48">
        <v>27</v>
      </c>
      <c r="J20" s="20"/>
      <c r="K20" s="20"/>
      <c r="L20" s="48">
        <v>40</v>
      </c>
      <c r="M20" s="20"/>
      <c r="N20" s="48">
        <v>40</v>
      </c>
      <c r="O20" s="20"/>
      <c r="P20" s="48">
        <v>23</v>
      </c>
      <c r="Q20" s="20"/>
      <c r="R20" s="48">
        <v>22</v>
      </c>
      <c r="S20" s="20"/>
      <c r="T20" s="48">
        <v>31</v>
      </c>
      <c r="U20" s="20"/>
      <c r="V20" s="20"/>
      <c r="W20" s="48">
        <v>56</v>
      </c>
      <c r="X20" s="20"/>
      <c r="Y20" s="48">
        <v>56</v>
      </c>
      <c r="Z20" s="20"/>
    </row>
    <row r="21" spans="1:26" x14ac:dyDescent="0.35">
      <c r="A21" s="78" t="s">
        <v>38</v>
      </c>
      <c r="B21" s="78"/>
      <c r="C21" s="78"/>
      <c r="D21" s="78"/>
      <c r="E21" s="78"/>
      <c r="F21" s="78"/>
      <c r="G21" s="78"/>
      <c r="H21" s="78"/>
      <c r="I21" s="78"/>
      <c r="J21" s="78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x14ac:dyDescent="0.35">
      <c r="A22" s="78" t="s">
        <v>47</v>
      </c>
      <c r="B22" s="78"/>
      <c r="C22" s="78"/>
      <c r="D22" s="78"/>
      <c r="E22" s="78"/>
      <c r="F22" s="78"/>
      <c r="G22" s="78"/>
      <c r="H22" s="78"/>
      <c r="I22" s="78"/>
      <c r="J22" s="78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s="32" customFormat="1" x14ac:dyDescent="0.35">
      <c r="B23" s="33"/>
    </row>
    <row r="24" spans="1:26" ht="14.5" customHeight="1" x14ac:dyDescent="0.35">
      <c r="A24" s="86" t="s">
        <v>36</v>
      </c>
      <c r="B24" s="68" t="s">
        <v>3</v>
      </c>
      <c r="C24" s="74"/>
      <c r="D24" s="69"/>
      <c r="E24" s="65" t="s">
        <v>4</v>
      </c>
      <c r="F24" s="66"/>
      <c r="G24" s="66"/>
      <c r="H24" s="66"/>
      <c r="I24" s="66"/>
      <c r="J24" s="67"/>
      <c r="K24" s="79" t="s">
        <v>5</v>
      </c>
      <c r="L24" s="85"/>
      <c r="M24" s="85"/>
      <c r="N24" s="85"/>
      <c r="O24" s="85"/>
      <c r="P24" s="80"/>
      <c r="Q24" s="32"/>
      <c r="R24" s="96" t="s">
        <v>43</v>
      </c>
      <c r="S24" s="96"/>
      <c r="T24" s="96"/>
      <c r="U24" s="32"/>
      <c r="V24" s="32"/>
      <c r="W24" s="32"/>
      <c r="X24" s="32"/>
    </row>
    <row r="25" spans="1:26" ht="14.5" customHeight="1" x14ac:dyDescent="0.35">
      <c r="A25" s="87"/>
      <c r="B25" s="75" t="s">
        <v>22</v>
      </c>
      <c r="C25" s="68" t="s">
        <v>6</v>
      </c>
      <c r="D25" s="69"/>
      <c r="E25" s="63" t="s">
        <v>22</v>
      </c>
      <c r="F25" s="65" t="s">
        <v>31</v>
      </c>
      <c r="G25" s="67"/>
      <c r="H25" s="63" t="s">
        <v>22</v>
      </c>
      <c r="I25" s="65" t="s">
        <v>32</v>
      </c>
      <c r="J25" s="67"/>
      <c r="K25" s="61" t="s">
        <v>22</v>
      </c>
      <c r="L25" s="79" t="s">
        <v>8</v>
      </c>
      <c r="M25" s="80"/>
      <c r="N25" s="83" t="s">
        <v>22</v>
      </c>
      <c r="O25" s="79" t="s">
        <v>15</v>
      </c>
      <c r="P25" s="80"/>
      <c r="Q25" s="32"/>
      <c r="R25" s="96"/>
      <c r="S25" s="96"/>
      <c r="T25" s="96"/>
      <c r="U25" s="32"/>
      <c r="V25" s="32"/>
      <c r="W25" s="32"/>
      <c r="X25" s="32"/>
    </row>
    <row r="26" spans="1:26" x14ac:dyDescent="0.35">
      <c r="A26" s="88"/>
      <c r="B26" s="76"/>
      <c r="C26" s="4" t="s">
        <v>19</v>
      </c>
      <c r="D26" s="4" t="s">
        <v>33</v>
      </c>
      <c r="E26" s="64"/>
      <c r="F26" s="5" t="s">
        <v>19</v>
      </c>
      <c r="G26" s="5" t="s">
        <v>33</v>
      </c>
      <c r="H26" s="64"/>
      <c r="I26" s="5" t="s">
        <v>19</v>
      </c>
      <c r="J26" s="5" t="s">
        <v>33</v>
      </c>
      <c r="K26" s="62"/>
      <c r="L26" s="6" t="s">
        <v>19</v>
      </c>
      <c r="M26" s="6" t="s">
        <v>33</v>
      </c>
      <c r="N26" s="84"/>
      <c r="O26" s="6" t="s">
        <v>19</v>
      </c>
      <c r="P26" s="6" t="s">
        <v>33</v>
      </c>
      <c r="Q26" s="32"/>
      <c r="R26" s="32"/>
      <c r="S26" s="32"/>
      <c r="T26" s="32"/>
      <c r="U26" s="32"/>
      <c r="V26" s="32"/>
      <c r="W26" s="32"/>
      <c r="X26" s="32"/>
    </row>
    <row r="27" spans="1:26" ht="16.5" customHeight="1" x14ac:dyDescent="0.35">
      <c r="A27" s="47" t="s">
        <v>23</v>
      </c>
      <c r="B27" s="9">
        <v>338</v>
      </c>
      <c r="C27" s="9">
        <v>123</v>
      </c>
      <c r="D27" s="37">
        <f>C27/B27</f>
        <v>0.36390532544378701</v>
      </c>
      <c r="E27" s="9">
        <v>825</v>
      </c>
      <c r="F27" s="9">
        <v>149</v>
      </c>
      <c r="G27" s="37">
        <f>F27/E27</f>
        <v>0.1806060606060606</v>
      </c>
      <c r="H27" s="9">
        <v>546</v>
      </c>
      <c r="I27" s="9">
        <v>258</v>
      </c>
      <c r="J27" s="37">
        <f>I27/H27</f>
        <v>0.47252747252747251</v>
      </c>
      <c r="K27" s="9">
        <v>827</v>
      </c>
      <c r="L27" s="9">
        <v>158</v>
      </c>
      <c r="M27" s="37">
        <f>L27/K27</f>
        <v>0.19105199516324062</v>
      </c>
      <c r="N27" s="9">
        <v>1652</v>
      </c>
      <c r="O27" s="9">
        <v>896</v>
      </c>
      <c r="P27" s="37">
        <f>O27/N27</f>
        <v>0.5423728813559322</v>
      </c>
      <c r="Q27" s="32"/>
      <c r="R27" s="38"/>
      <c r="S27" s="39" t="s">
        <v>40</v>
      </c>
      <c r="T27" s="32"/>
      <c r="U27" s="32"/>
      <c r="V27" s="32"/>
      <c r="W27" s="32"/>
      <c r="X27" s="32"/>
    </row>
    <row r="28" spans="1:26" ht="15" customHeight="1" x14ac:dyDescent="0.4">
      <c r="A28" s="47" t="s">
        <v>24</v>
      </c>
      <c r="B28" s="9">
        <v>587</v>
      </c>
      <c r="C28" s="9">
        <v>189</v>
      </c>
      <c r="D28" s="37">
        <f t="shared" ref="D28:D33" si="11">C28/B28</f>
        <v>0.3219761499148211</v>
      </c>
      <c r="E28" s="9">
        <v>1062</v>
      </c>
      <c r="F28" s="9">
        <v>159</v>
      </c>
      <c r="G28" s="37">
        <f t="shared" ref="G28:G33" si="12">F28/E28</f>
        <v>0.14971751412429379</v>
      </c>
      <c r="H28" s="9">
        <v>735</v>
      </c>
      <c r="I28" s="9">
        <v>241</v>
      </c>
      <c r="J28" s="37">
        <f t="shared" ref="J28:J36" si="13">I28/H28</f>
        <v>0.32789115646258504</v>
      </c>
      <c r="K28" s="9">
        <v>1189</v>
      </c>
      <c r="L28" s="9">
        <v>170</v>
      </c>
      <c r="M28" s="37">
        <f t="shared" ref="M28:M36" si="14">L28/K28</f>
        <v>0.14297729184188393</v>
      </c>
      <c r="N28" s="9">
        <v>2384</v>
      </c>
      <c r="O28" s="9">
        <v>992</v>
      </c>
      <c r="P28" s="37">
        <f t="shared" ref="P28:P33" si="15">O28/N28</f>
        <v>0.41610738255033558</v>
      </c>
      <c r="Q28" s="32"/>
      <c r="R28" s="40"/>
      <c r="S28" s="41" t="s">
        <v>41</v>
      </c>
      <c r="T28" s="32"/>
      <c r="U28" s="32"/>
      <c r="V28" s="32"/>
      <c r="W28" s="32"/>
      <c r="X28" s="32"/>
    </row>
    <row r="29" spans="1:26" ht="16.5" customHeight="1" x14ac:dyDescent="0.4">
      <c r="A29" s="47" t="s">
        <v>25</v>
      </c>
      <c r="B29" s="9">
        <v>83</v>
      </c>
      <c r="C29" s="55">
        <v>33</v>
      </c>
      <c r="D29" s="54">
        <f t="shared" si="11"/>
        <v>0.39759036144578314</v>
      </c>
      <c r="E29" s="9">
        <v>251</v>
      </c>
      <c r="F29" s="55">
        <v>47</v>
      </c>
      <c r="G29" s="54">
        <f t="shared" si="12"/>
        <v>0.18725099601593626</v>
      </c>
      <c r="H29" s="9">
        <v>184</v>
      </c>
      <c r="I29" s="9">
        <v>109</v>
      </c>
      <c r="J29" s="37">
        <f t="shared" si="13"/>
        <v>0.59239130434782605</v>
      </c>
      <c r="K29" s="9">
        <v>537</v>
      </c>
      <c r="L29" s="9">
        <v>51</v>
      </c>
      <c r="M29" s="37">
        <f t="shared" si="14"/>
        <v>9.4972067039106142E-2</v>
      </c>
      <c r="N29" s="9">
        <v>1074</v>
      </c>
      <c r="O29" s="9">
        <v>813</v>
      </c>
      <c r="P29" s="37">
        <f t="shared" si="15"/>
        <v>0.75698324022346364</v>
      </c>
      <c r="Q29" s="32"/>
      <c r="R29" s="42"/>
      <c r="S29" s="41" t="s">
        <v>42</v>
      </c>
      <c r="T29" s="32"/>
      <c r="U29" s="32"/>
      <c r="V29" s="32"/>
      <c r="W29" s="32"/>
      <c r="X29" s="32"/>
    </row>
    <row r="30" spans="1:26" x14ac:dyDescent="0.35">
      <c r="A30" s="7" t="s">
        <v>26</v>
      </c>
      <c r="B30" s="9">
        <v>321</v>
      </c>
      <c r="C30" s="9">
        <v>110</v>
      </c>
      <c r="D30" s="37">
        <f t="shared" si="11"/>
        <v>0.34267912772585668</v>
      </c>
      <c r="E30" s="9">
        <v>682</v>
      </c>
      <c r="F30" s="55">
        <v>75</v>
      </c>
      <c r="G30" s="54">
        <f t="shared" si="12"/>
        <v>0.10997067448680352</v>
      </c>
      <c r="H30" s="9">
        <v>476</v>
      </c>
      <c r="I30" s="9">
        <v>153</v>
      </c>
      <c r="J30" s="37">
        <f t="shared" si="13"/>
        <v>0.32142857142857145</v>
      </c>
      <c r="K30" s="9">
        <v>1076</v>
      </c>
      <c r="L30" s="9">
        <v>172</v>
      </c>
      <c r="M30" s="37">
        <f t="shared" si="14"/>
        <v>0.15985130111524162</v>
      </c>
      <c r="N30" s="9">
        <v>2145</v>
      </c>
      <c r="O30" s="9">
        <v>1288</v>
      </c>
      <c r="P30" s="37">
        <f t="shared" si="15"/>
        <v>0.60046620046620047</v>
      </c>
      <c r="Q30" s="32"/>
      <c r="R30" s="32"/>
      <c r="S30" s="32"/>
      <c r="T30" s="32"/>
      <c r="U30" s="32"/>
      <c r="V30" s="32"/>
      <c r="W30" s="32"/>
      <c r="X30" s="32"/>
    </row>
    <row r="31" spans="1:26" hidden="1" x14ac:dyDescent="0.35">
      <c r="B31" s="34"/>
      <c r="C31" s="34"/>
      <c r="D31" s="37" t="e">
        <f t="shared" si="11"/>
        <v>#DIV/0!</v>
      </c>
      <c r="E31" s="34"/>
      <c r="F31" s="34"/>
      <c r="G31" s="37" t="e">
        <f t="shared" si="12"/>
        <v>#DIV/0!</v>
      </c>
      <c r="H31" s="34"/>
      <c r="I31" s="34"/>
      <c r="J31" s="37" t="e">
        <f t="shared" si="13"/>
        <v>#DIV/0!</v>
      </c>
      <c r="K31" s="34"/>
      <c r="L31" s="34"/>
      <c r="M31" s="37" t="e">
        <f t="shared" si="14"/>
        <v>#DIV/0!</v>
      </c>
      <c r="N31" s="34"/>
      <c r="O31" s="34"/>
      <c r="P31" s="37" t="e">
        <f t="shared" si="15"/>
        <v>#DIV/0!</v>
      </c>
      <c r="Q31" s="32"/>
      <c r="R31" s="32"/>
      <c r="S31" s="32"/>
      <c r="T31" s="32"/>
      <c r="U31" s="32"/>
      <c r="V31" s="32"/>
      <c r="W31" s="32"/>
      <c r="X31" s="32"/>
    </row>
    <row r="32" spans="1:26" x14ac:dyDescent="0.35">
      <c r="A32" s="7" t="s">
        <v>28</v>
      </c>
      <c r="B32" s="9">
        <v>113</v>
      </c>
      <c r="C32" s="55">
        <v>41</v>
      </c>
      <c r="D32" s="54">
        <f t="shared" si="11"/>
        <v>0.36283185840707965</v>
      </c>
      <c r="E32" s="9">
        <v>269</v>
      </c>
      <c r="F32" s="9">
        <v>21</v>
      </c>
      <c r="G32" s="37">
        <f t="shared" si="12"/>
        <v>7.8066914498141265E-2</v>
      </c>
      <c r="H32" s="9">
        <v>241</v>
      </c>
      <c r="I32" s="9">
        <v>32</v>
      </c>
      <c r="J32" s="37">
        <f t="shared" si="13"/>
        <v>0.13278008298755187</v>
      </c>
      <c r="K32" s="9">
        <v>928</v>
      </c>
      <c r="L32" s="55">
        <v>37</v>
      </c>
      <c r="M32" s="54">
        <f t="shared" si="14"/>
        <v>3.9870689655172417E-2</v>
      </c>
      <c r="N32" s="9">
        <v>1858</v>
      </c>
      <c r="O32" s="9">
        <v>1216</v>
      </c>
      <c r="P32" s="37">
        <f t="shared" si="15"/>
        <v>0.65446716899892354</v>
      </c>
      <c r="Q32" s="32"/>
      <c r="R32" s="32"/>
      <c r="S32" s="32"/>
      <c r="T32" s="32"/>
      <c r="U32" s="32"/>
      <c r="V32" s="32"/>
      <c r="W32" s="32"/>
      <c r="X32" s="32"/>
    </row>
    <row r="33" spans="1:24" x14ac:dyDescent="0.35">
      <c r="A33" s="7" t="s">
        <v>29</v>
      </c>
      <c r="B33" s="9">
        <v>813</v>
      </c>
      <c r="C33" s="9">
        <v>284</v>
      </c>
      <c r="D33" s="37">
        <f t="shared" si="11"/>
        <v>0.34932349323493234</v>
      </c>
      <c r="E33" s="9">
        <v>1687</v>
      </c>
      <c r="F33" s="9">
        <v>299</v>
      </c>
      <c r="G33" s="37">
        <f t="shared" si="12"/>
        <v>0.17723770005927683</v>
      </c>
      <c r="H33" s="9">
        <v>1192</v>
      </c>
      <c r="I33" s="9">
        <v>367</v>
      </c>
      <c r="J33" s="37">
        <f t="shared" si="13"/>
        <v>0.30788590604026844</v>
      </c>
      <c r="K33" s="9">
        <v>1944</v>
      </c>
      <c r="L33" s="9">
        <v>338</v>
      </c>
      <c r="M33" s="37">
        <f t="shared" si="14"/>
        <v>0.17386831275720166</v>
      </c>
      <c r="N33" s="9">
        <v>3882</v>
      </c>
      <c r="O33" s="9">
        <v>2643</v>
      </c>
      <c r="P33" s="37">
        <f t="shared" si="15"/>
        <v>0.6808346213292118</v>
      </c>
      <c r="Q33" s="32"/>
      <c r="R33" s="32"/>
      <c r="S33" s="32"/>
      <c r="T33" s="32"/>
      <c r="U33" s="32"/>
      <c r="V33" s="32"/>
      <c r="W33" s="32"/>
      <c r="X33" s="32"/>
    </row>
    <row r="34" spans="1:24" x14ac:dyDescent="0.35">
      <c r="A34" s="7" t="s">
        <v>34</v>
      </c>
      <c r="B34" s="35"/>
      <c r="C34" s="55">
        <v>46</v>
      </c>
      <c r="D34" s="36"/>
      <c r="E34" s="35"/>
      <c r="F34" s="55">
        <v>15</v>
      </c>
      <c r="G34" s="36"/>
      <c r="H34" s="35"/>
      <c r="I34" s="55">
        <v>24</v>
      </c>
      <c r="J34" s="36"/>
      <c r="K34" s="35"/>
      <c r="L34" s="55">
        <v>34</v>
      </c>
      <c r="M34" s="36"/>
      <c r="N34" s="35"/>
      <c r="O34" s="55">
        <v>289</v>
      </c>
      <c r="P34" s="36"/>
      <c r="Q34" s="32"/>
      <c r="R34" s="32"/>
      <c r="S34" s="32"/>
      <c r="T34" s="32"/>
      <c r="U34" s="32"/>
      <c r="V34" s="32"/>
      <c r="W34" s="32"/>
      <c r="X34" s="32"/>
    </row>
    <row r="35" spans="1:24" x14ac:dyDescent="0.35">
      <c r="A35" s="13" t="s">
        <v>27</v>
      </c>
      <c r="B35" s="29">
        <v>1203</v>
      </c>
      <c r="C35" s="29">
        <f>SUM(C37:C38)</f>
        <v>435</v>
      </c>
      <c r="D35" s="37">
        <f>C35/B35</f>
        <v>0.36159600997506236</v>
      </c>
      <c r="E35" s="29">
        <v>2391</v>
      </c>
      <c r="F35" s="29">
        <f>SUM(F37:F38)</f>
        <v>185</v>
      </c>
      <c r="G35" s="37">
        <f>F35/E35</f>
        <v>7.7373483897950651E-2</v>
      </c>
      <c r="H35" s="29">
        <v>1650</v>
      </c>
      <c r="I35" s="29">
        <f>SUM(I37:I38)</f>
        <v>456</v>
      </c>
      <c r="J35" s="37">
        <f t="shared" si="13"/>
        <v>0.27636363636363637</v>
      </c>
      <c r="K35" s="29">
        <v>2538</v>
      </c>
      <c r="L35" s="29">
        <f>SUM(L37:L38)</f>
        <v>314</v>
      </c>
      <c r="M35" s="37">
        <f t="shared" si="14"/>
        <v>0.12371946414499606</v>
      </c>
      <c r="N35" s="29">
        <v>5073</v>
      </c>
      <c r="O35" s="29">
        <f>SUM(O37:O38)</f>
        <v>2069</v>
      </c>
      <c r="P35" s="37">
        <f t="shared" ref="P35:P36" si="16">O35/N35</f>
        <v>0.40784545633747288</v>
      </c>
      <c r="Q35" s="32"/>
      <c r="R35" s="32"/>
      <c r="S35" s="32"/>
      <c r="T35" s="32"/>
      <c r="U35" s="32"/>
      <c r="V35" s="32"/>
      <c r="W35" s="32"/>
      <c r="X35" s="32"/>
    </row>
    <row r="36" spans="1:24" x14ac:dyDescent="0.35">
      <c r="A36" s="8" t="s">
        <v>30</v>
      </c>
      <c r="B36" s="30">
        <f>SUM(B27:B35)</f>
        <v>3458</v>
      </c>
      <c r="C36" s="30">
        <f>SUM(C27:C35)</f>
        <v>1261</v>
      </c>
      <c r="D36" s="37">
        <f>C36/B36</f>
        <v>0.36466165413533835</v>
      </c>
      <c r="E36" s="30">
        <f>SUM(E27:E35)</f>
        <v>7167</v>
      </c>
      <c r="F36" s="30">
        <f>SUM(F27:F35)</f>
        <v>950</v>
      </c>
      <c r="G36" s="37">
        <f>F36/E36</f>
        <v>0.13255197432677551</v>
      </c>
      <c r="H36" s="30">
        <f>SUM(H27:H35)</f>
        <v>5024</v>
      </c>
      <c r="I36" s="30">
        <f>SUM(I27:I35)</f>
        <v>1640</v>
      </c>
      <c r="J36" s="37">
        <f t="shared" si="13"/>
        <v>0.32643312101910826</v>
      </c>
      <c r="K36" s="30">
        <f>SUM(K27:K35)</f>
        <v>9039</v>
      </c>
      <c r="L36" s="30">
        <f>SUM(L27:L35)</f>
        <v>1274</v>
      </c>
      <c r="M36" s="37">
        <f t="shared" si="14"/>
        <v>0.14094479477818342</v>
      </c>
      <c r="N36" s="30">
        <f>SUM(N27:N35)</f>
        <v>18068</v>
      </c>
      <c r="O36" s="30">
        <f>SUM(O27:O35)</f>
        <v>10206</v>
      </c>
      <c r="P36" s="37">
        <f t="shared" si="16"/>
        <v>0.56486606154527341</v>
      </c>
      <c r="Q36" s="32"/>
      <c r="R36" s="32"/>
      <c r="S36" s="32"/>
      <c r="T36" s="32"/>
      <c r="U36" s="32"/>
      <c r="V36" s="32"/>
      <c r="W36" s="32"/>
      <c r="X36" s="32"/>
    </row>
    <row r="37" spans="1:24" ht="15.5" hidden="1" customHeight="1" x14ac:dyDescent="0.35">
      <c r="B37" s="20"/>
      <c r="C37" s="15">
        <v>399</v>
      </c>
      <c r="D37" s="20"/>
      <c r="E37" s="20"/>
      <c r="F37" s="15">
        <v>173</v>
      </c>
      <c r="G37" s="20"/>
      <c r="H37" s="20"/>
      <c r="I37" s="15">
        <v>444</v>
      </c>
      <c r="J37" s="20"/>
      <c r="K37" s="20"/>
      <c r="L37" s="15">
        <v>301</v>
      </c>
      <c r="M37" s="20"/>
      <c r="N37" s="20"/>
      <c r="O37" s="15">
        <v>2064</v>
      </c>
      <c r="P37" s="20"/>
      <c r="Q37" s="32"/>
      <c r="R37" s="32"/>
      <c r="S37" s="32"/>
      <c r="T37" s="32"/>
      <c r="U37" s="32"/>
      <c r="V37" s="32"/>
      <c r="W37" s="32"/>
      <c r="X37" s="32"/>
    </row>
    <row r="38" spans="1:24" ht="18" hidden="1" customHeight="1" x14ac:dyDescent="0.35">
      <c r="B38" s="20"/>
      <c r="C38" s="49">
        <v>36</v>
      </c>
      <c r="D38" s="20"/>
      <c r="E38" s="20"/>
      <c r="F38" s="49">
        <v>12</v>
      </c>
      <c r="G38" s="20"/>
      <c r="H38" s="20"/>
      <c r="I38" s="49">
        <v>12</v>
      </c>
      <c r="J38" s="20"/>
      <c r="K38" s="20"/>
      <c r="L38" s="49">
        <v>13</v>
      </c>
      <c r="M38" s="20"/>
      <c r="N38" s="20"/>
      <c r="O38" s="49">
        <v>5</v>
      </c>
      <c r="P38" s="20"/>
      <c r="Q38" s="32"/>
      <c r="R38" s="32"/>
      <c r="S38" s="32"/>
      <c r="T38" s="32"/>
      <c r="U38" s="32"/>
      <c r="V38" s="32"/>
      <c r="W38" s="32"/>
      <c r="X38" s="32"/>
    </row>
    <row r="39" spans="1:24" x14ac:dyDescent="0.35">
      <c r="A39" s="78" t="s">
        <v>38</v>
      </c>
      <c r="B39" s="78"/>
      <c r="C39" s="78"/>
      <c r="D39" s="78"/>
      <c r="E39" s="78"/>
      <c r="F39" s="78"/>
      <c r="G39" s="78"/>
      <c r="H39" s="78"/>
      <c r="I39" s="78"/>
      <c r="J39" s="78"/>
      <c r="K39" s="25"/>
      <c r="L39" s="25"/>
      <c r="M39" s="25"/>
      <c r="N39" s="25"/>
      <c r="O39" s="25"/>
      <c r="P39" s="25"/>
      <c r="Q39" s="32"/>
      <c r="R39" s="32"/>
      <c r="S39" s="32"/>
      <c r="T39" s="32"/>
      <c r="U39" s="32"/>
      <c r="V39" s="32"/>
      <c r="W39" s="32"/>
      <c r="X39" s="32"/>
    </row>
    <row r="40" spans="1:24" x14ac:dyDescent="0.35">
      <c r="A40" s="78" t="s">
        <v>47</v>
      </c>
      <c r="B40" s="78"/>
      <c r="C40" s="78"/>
      <c r="D40" s="78"/>
      <c r="E40" s="78"/>
      <c r="F40" s="78"/>
      <c r="G40" s="78"/>
      <c r="H40" s="78"/>
      <c r="I40" s="78"/>
      <c r="J40" s="78"/>
      <c r="K40" s="25"/>
      <c r="L40" s="25"/>
      <c r="M40" s="25"/>
      <c r="N40" s="25"/>
      <c r="O40" s="25"/>
      <c r="P40" s="25"/>
      <c r="Q40" s="32"/>
      <c r="R40" s="32"/>
      <c r="S40" s="32"/>
      <c r="T40" s="32"/>
      <c r="U40" s="32"/>
      <c r="V40" s="32"/>
      <c r="W40" s="32"/>
      <c r="X40" s="32"/>
    </row>
    <row r="41" spans="1:24" x14ac:dyDescent="0.35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32"/>
      <c r="R41" s="32"/>
      <c r="S41" s="32"/>
      <c r="T41" s="32"/>
      <c r="U41" s="32"/>
      <c r="V41" s="32"/>
      <c r="W41" s="32"/>
      <c r="X41" s="32"/>
    </row>
    <row r="42" spans="1:24" x14ac:dyDescent="0.35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32"/>
      <c r="R42" s="32"/>
      <c r="S42" s="32"/>
      <c r="T42" s="32"/>
      <c r="U42" s="32"/>
      <c r="V42" s="32"/>
      <c r="W42" s="32"/>
      <c r="X42" s="32"/>
    </row>
    <row r="43" spans="1:24" x14ac:dyDescent="0.3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32"/>
      <c r="R43" s="32"/>
      <c r="S43" s="32"/>
      <c r="T43" s="32"/>
      <c r="U43" s="32"/>
      <c r="V43" s="32"/>
      <c r="W43" s="32"/>
      <c r="X43" s="32"/>
    </row>
    <row r="44" spans="1:24" x14ac:dyDescent="0.35">
      <c r="Q44" s="32"/>
      <c r="R44" s="32"/>
      <c r="S44" s="32"/>
      <c r="T44" s="32"/>
      <c r="U44" s="32"/>
      <c r="V44" s="32"/>
      <c r="W44" s="32"/>
      <c r="X44" s="32"/>
    </row>
  </sheetData>
  <mergeCells count="37">
    <mergeCell ref="A39:J39"/>
    <mergeCell ref="A40:J40"/>
    <mergeCell ref="C25:D25"/>
    <mergeCell ref="E25:E26"/>
    <mergeCell ref="F25:G25"/>
    <mergeCell ref="H25:H26"/>
    <mergeCell ref="I25:J25"/>
    <mergeCell ref="K24:P24"/>
    <mergeCell ref="R24:T25"/>
    <mergeCell ref="B25:B26"/>
    <mergeCell ref="K8:K9"/>
    <mergeCell ref="L8:M8"/>
    <mergeCell ref="N8:Q8"/>
    <mergeCell ref="R8:S8"/>
    <mergeCell ref="T8:U8"/>
    <mergeCell ref="L25:M25"/>
    <mergeCell ref="N25:N26"/>
    <mergeCell ref="O25:P25"/>
    <mergeCell ref="K25:K26"/>
    <mergeCell ref="A21:J21"/>
    <mergeCell ref="A22:J22"/>
    <mergeCell ref="A24:A26"/>
    <mergeCell ref="B24:D24"/>
    <mergeCell ref="E24:J24"/>
    <mergeCell ref="E1:Z6"/>
    <mergeCell ref="A7:A9"/>
    <mergeCell ref="B7:J7"/>
    <mergeCell ref="K7:Q7"/>
    <mergeCell ref="V7:Z7"/>
    <mergeCell ref="B8:B9"/>
    <mergeCell ref="C8:D8"/>
    <mergeCell ref="E8:F8"/>
    <mergeCell ref="G8:H8"/>
    <mergeCell ref="I8:J8"/>
    <mergeCell ref="W8:X8"/>
    <mergeCell ref="Y8:Z8"/>
    <mergeCell ref="V8:V9"/>
  </mergeCells>
  <conditionalFormatting sqref="B3">
    <cfRule type="iconSet" priority="1">
      <iconSet>
        <cfvo type="percent" val="0"/>
        <cfvo type="num" val="0.1333"/>
        <cfvo type="num" val="0.1583"/>
      </iconSet>
    </cfRule>
  </conditionalFormatting>
  <conditionalFormatting sqref="B4">
    <cfRule type="iconSet" priority="3">
      <iconSet>
        <cfvo type="percent" val="0"/>
        <cfvo type="num" val="0.1333"/>
        <cfvo type="num" val="0.1583"/>
      </iconSet>
    </cfRule>
  </conditionalFormatting>
  <conditionalFormatting sqref="C6 B3:B5">
    <cfRule type="iconSet" priority="2">
      <iconSet>
        <cfvo type="percent" val="0"/>
        <cfvo type="num" val="0.1333"/>
        <cfvo type="num" val="0.158"/>
      </iconSet>
    </cfRule>
  </conditionalFormatting>
  <conditionalFormatting sqref="C6 B5">
    <cfRule type="iconSet" priority="4">
      <iconSet>
        <cfvo type="percent" val="0"/>
        <cfvo type="num" val="0.1333"/>
        <cfvo type="num" val="0.1583"/>
      </iconSet>
    </cfRule>
  </conditionalFormatting>
  <conditionalFormatting sqref="D10:D18">
    <cfRule type="iconSet" priority="29">
      <iconSet>
        <cfvo type="percent" val="0"/>
        <cfvo type="num" val="0.33"/>
        <cfvo type="num" val="0.41499999999999998"/>
      </iconSet>
    </cfRule>
  </conditionalFormatting>
  <conditionalFormatting sqref="D27:D33">
    <cfRule type="iconSet" priority="18">
      <iconSet>
        <cfvo type="percent" val="0"/>
        <cfvo type="num" val="0.33"/>
        <cfvo type="num" val="0.41499999999999998"/>
      </iconSet>
    </cfRule>
  </conditionalFormatting>
  <conditionalFormatting sqref="D35:D36">
    <cfRule type="iconSet" priority="17">
      <iconSet>
        <cfvo type="percent" val="0"/>
        <cfvo type="num" val="0.33"/>
        <cfvo type="num" val="0.41499999999999998"/>
      </iconSet>
    </cfRule>
  </conditionalFormatting>
  <conditionalFormatting sqref="F10:F18">
    <cfRule type="iconSet" priority="28">
      <iconSet>
        <cfvo type="percent" val="0"/>
        <cfvo type="num" val="0.33"/>
        <cfvo type="num" val="0.41499999999999998"/>
      </iconSet>
    </cfRule>
  </conditionalFormatting>
  <conditionalFormatting sqref="G27:G33">
    <cfRule type="iconSet" priority="16">
      <iconSet>
        <cfvo type="percent" val="0"/>
        <cfvo type="num" val="0.33"/>
        <cfvo type="num" val="0.41499999999999998"/>
      </iconSet>
    </cfRule>
  </conditionalFormatting>
  <conditionalFormatting sqref="G35:G36">
    <cfRule type="iconSet" priority="12">
      <iconSet>
        <cfvo type="percent" val="0"/>
        <cfvo type="num" val="0.33"/>
        <cfvo type="num" val="0.41499999999999998"/>
      </iconSet>
    </cfRule>
  </conditionalFormatting>
  <conditionalFormatting sqref="H10:H18">
    <cfRule type="iconSet" priority="27">
      <iconSet>
        <cfvo type="percent" val="0"/>
        <cfvo type="num" val="0.33"/>
        <cfvo type="num" val="0.41499999999999998"/>
      </iconSet>
    </cfRule>
  </conditionalFormatting>
  <conditionalFormatting sqref="J10:J18">
    <cfRule type="iconSet" priority="26">
      <iconSet>
        <cfvo type="percent" val="0"/>
        <cfvo type="num" val="0.33"/>
        <cfvo type="num" val="0.41499999999999998"/>
      </iconSet>
    </cfRule>
  </conditionalFormatting>
  <conditionalFormatting sqref="J27:J33">
    <cfRule type="iconSet" priority="15">
      <iconSet>
        <cfvo type="percent" val="0"/>
        <cfvo type="num" val="0.33"/>
        <cfvo type="num" val="0.41499999999999998"/>
      </iconSet>
    </cfRule>
  </conditionalFormatting>
  <conditionalFormatting sqref="J35:J36">
    <cfRule type="iconSet" priority="11">
      <iconSet>
        <cfvo type="percent" val="0"/>
        <cfvo type="num" val="0.33"/>
        <cfvo type="num" val="0.41499999999999998"/>
      </iconSet>
    </cfRule>
  </conditionalFormatting>
  <conditionalFormatting sqref="M10:M18">
    <cfRule type="iconSet" priority="25">
      <iconSet>
        <cfvo type="percent" val="0"/>
        <cfvo type="num" val="0.33"/>
        <cfvo type="num" val="0.41499999999999998"/>
      </iconSet>
    </cfRule>
  </conditionalFormatting>
  <conditionalFormatting sqref="M27:M33">
    <cfRule type="iconSet" priority="14">
      <iconSet>
        <cfvo type="percent" val="0"/>
        <cfvo type="num" val="0.33"/>
        <cfvo type="num" val="0.41499999999999998"/>
      </iconSet>
    </cfRule>
  </conditionalFormatting>
  <conditionalFormatting sqref="M35:M36">
    <cfRule type="iconSet" priority="10">
      <iconSet>
        <cfvo type="percent" val="0"/>
        <cfvo type="num" val="0.33"/>
        <cfvo type="num" val="0.41499999999999998"/>
      </iconSet>
    </cfRule>
  </conditionalFormatting>
  <conditionalFormatting sqref="O10:O18">
    <cfRule type="iconSet" priority="24">
      <iconSet>
        <cfvo type="percent" val="0"/>
        <cfvo type="num" val="0.33"/>
        <cfvo type="num" val="0.41499999999999998"/>
      </iconSet>
    </cfRule>
  </conditionalFormatting>
  <conditionalFormatting sqref="P27:P33">
    <cfRule type="iconSet" priority="13">
      <iconSet>
        <cfvo type="percent" val="0"/>
        <cfvo type="num" val="0.33"/>
        <cfvo type="num" val="0.41499999999999998"/>
      </iconSet>
    </cfRule>
  </conditionalFormatting>
  <conditionalFormatting sqref="P35:P36">
    <cfRule type="iconSet" priority="9">
      <iconSet>
        <cfvo type="percent" val="0"/>
        <cfvo type="num" val="0.33"/>
        <cfvo type="num" val="0.41499999999999998"/>
      </iconSet>
    </cfRule>
  </conditionalFormatting>
  <conditionalFormatting sqref="Q10:Q18">
    <cfRule type="iconSet" priority="23">
      <iconSet>
        <cfvo type="percent" val="0"/>
        <cfvo type="num" val="0.33"/>
        <cfvo type="num" val="0.41499999999999998"/>
      </iconSet>
    </cfRule>
  </conditionalFormatting>
  <conditionalFormatting sqref="S10:S18">
    <cfRule type="iconSet" priority="22">
      <iconSet>
        <cfvo type="percent" val="0"/>
        <cfvo type="num" val="0.33"/>
        <cfvo type="num" val="0.41499999999999998"/>
      </iconSet>
    </cfRule>
  </conditionalFormatting>
  <conditionalFormatting sqref="S27">
    <cfRule type="iconSet" priority="5">
      <iconSet>
        <cfvo type="percent" val="0"/>
        <cfvo type="num" val="0.1333"/>
        <cfvo type="num" val="0.1583"/>
      </iconSet>
    </cfRule>
  </conditionalFormatting>
  <conditionalFormatting sqref="S27:S29">
    <cfRule type="iconSet" priority="6">
      <iconSet>
        <cfvo type="percent" val="0"/>
        <cfvo type="num" val="0.1333"/>
        <cfvo type="num" val="0.158"/>
      </iconSet>
    </cfRule>
  </conditionalFormatting>
  <conditionalFormatting sqref="S28">
    <cfRule type="iconSet" priority="7">
      <iconSet>
        <cfvo type="percent" val="0"/>
        <cfvo type="num" val="0.1333"/>
        <cfvo type="num" val="0.1583"/>
      </iconSet>
    </cfRule>
  </conditionalFormatting>
  <conditionalFormatting sqref="S29">
    <cfRule type="iconSet" priority="8">
      <iconSet>
        <cfvo type="percent" val="0"/>
        <cfvo type="num" val="0.1333"/>
        <cfvo type="num" val="0.1583"/>
      </iconSet>
    </cfRule>
  </conditionalFormatting>
  <conditionalFormatting sqref="U10:U18">
    <cfRule type="iconSet" priority="21">
      <iconSet>
        <cfvo type="percent" val="0"/>
        <cfvo type="num" val="0.33"/>
        <cfvo type="num" val="0.41499999999999998"/>
      </iconSet>
    </cfRule>
  </conditionalFormatting>
  <conditionalFormatting sqref="X10:X18">
    <cfRule type="iconSet" priority="20">
      <iconSet>
        <cfvo type="percent" val="0"/>
        <cfvo type="num" val="0.33"/>
        <cfvo type="num" val="0.41499999999999998"/>
      </iconSet>
    </cfRule>
  </conditionalFormatting>
  <conditionalFormatting sqref="Z10:Z18">
    <cfRule type="iconSet" priority="19">
      <iconSet>
        <cfvo type="percent" val="0"/>
        <cfvo type="num" val="0.33"/>
        <cfvo type="num" val="0.41499999999999998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1796-24AB-4C7E-9D3E-47738BA9402D}">
  <dimension ref="A1:Z44"/>
  <sheetViews>
    <sheetView tabSelected="1" zoomScale="90" zoomScaleNormal="90" workbookViewId="0">
      <selection activeCell="A19" sqref="A19:XFD20"/>
    </sheetView>
  </sheetViews>
  <sheetFormatPr baseColWidth="10" defaultRowHeight="14.5" x14ac:dyDescent="0.35"/>
  <cols>
    <col min="1" max="1" width="15.81640625" customWidth="1"/>
    <col min="2" max="2" width="6.1796875" style="31" customWidth="1"/>
    <col min="3" max="3" width="6.1796875" customWidth="1"/>
    <col min="4" max="4" width="7.08984375" customWidth="1"/>
    <col min="5" max="5" width="6.1796875" customWidth="1"/>
    <col min="6" max="6" width="6.7265625" customWidth="1"/>
    <col min="7" max="7" width="6.1796875" customWidth="1"/>
    <col min="8" max="8" width="7.1796875" customWidth="1"/>
    <col min="9" max="9" width="6.81640625" customWidth="1"/>
    <col min="10" max="10" width="7.08984375" customWidth="1"/>
    <col min="11" max="11" width="5.7265625" customWidth="1"/>
    <col min="12" max="12" width="6.81640625" customWidth="1"/>
    <col min="13" max="13" width="7.6328125" customWidth="1"/>
    <col min="14" max="14" width="6.36328125" customWidth="1"/>
    <col min="15" max="15" width="7.26953125" customWidth="1"/>
    <col min="16" max="16" width="6.54296875" customWidth="1"/>
    <col min="17" max="17" width="8.90625" customWidth="1"/>
    <col min="18" max="18" width="7.81640625" customWidth="1"/>
    <col min="19" max="19" width="6.54296875" customWidth="1"/>
    <col min="20" max="20" width="6.08984375" customWidth="1"/>
    <col min="21" max="21" width="7.26953125" customWidth="1"/>
    <col min="22" max="22" width="5.90625" customWidth="1"/>
    <col min="23" max="23" width="6.81640625" customWidth="1"/>
    <col min="24" max="24" width="6.6328125" customWidth="1"/>
    <col min="25" max="25" width="6.08984375" customWidth="1"/>
    <col min="26" max="26" width="7.36328125" customWidth="1"/>
  </cols>
  <sheetData>
    <row r="1" spans="1:26" s="32" customFormat="1" ht="22" customHeight="1" x14ac:dyDescent="0.35">
      <c r="A1" s="45" t="s">
        <v>43</v>
      </c>
      <c r="B1" s="46"/>
      <c r="C1" s="45"/>
      <c r="D1" s="45"/>
      <c r="E1" s="94" t="s">
        <v>37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s="32" customFormat="1" ht="5.5" customHeight="1" x14ac:dyDescent="0.35">
      <c r="A2" s="45"/>
      <c r="B2" s="46"/>
      <c r="C2" s="45"/>
      <c r="D2" s="45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14.5" customHeight="1" x14ac:dyDescent="0.35">
      <c r="A3" s="38"/>
      <c r="B3" s="39" t="s">
        <v>40</v>
      </c>
      <c r="D3" s="32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14.5" customHeight="1" x14ac:dyDescent="0.4">
      <c r="A4" s="40"/>
      <c r="B4" s="41" t="s">
        <v>41</v>
      </c>
      <c r="C4" s="32"/>
      <c r="D4" s="32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14.5" customHeight="1" x14ac:dyDescent="0.4">
      <c r="A5" s="42"/>
      <c r="B5" s="41" t="s">
        <v>42</v>
      </c>
      <c r="D5" s="32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s="32" customFormat="1" ht="9" customHeight="1" x14ac:dyDescent="0.4">
      <c r="A6" s="43"/>
      <c r="B6" s="44"/>
      <c r="C6" s="41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4.5" customHeight="1" x14ac:dyDescent="0.35">
      <c r="A7" s="86" t="s">
        <v>36</v>
      </c>
      <c r="B7" s="57" t="s">
        <v>0</v>
      </c>
      <c r="C7" s="93"/>
      <c r="D7" s="93"/>
      <c r="E7" s="93"/>
      <c r="F7" s="93"/>
      <c r="G7" s="93"/>
      <c r="H7" s="93"/>
      <c r="I7" s="93"/>
      <c r="J7" s="58"/>
      <c r="K7" s="59" t="s">
        <v>1</v>
      </c>
      <c r="L7" s="73"/>
      <c r="M7" s="73"/>
      <c r="N7" s="73"/>
      <c r="O7" s="73"/>
      <c r="P7" s="73"/>
      <c r="Q7" s="73"/>
      <c r="R7" s="51"/>
      <c r="S7" s="51"/>
      <c r="T7" s="51"/>
      <c r="U7" s="52"/>
      <c r="V7" s="70" t="s">
        <v>2</v>
      </c>
      <c r="W7" s="72"/>
      <c r="X7" s="72"/>
      <c r="Y7" s="72"/>
      <c r="Z7" s="71"/>
    </row>
    <row r="8" spans="1:26" x14ac:dyDescent="0.35">
      <c r="A8" s="87"/>
      <c r="B8" s="89" t="s">
        <v>22</v>
      </c>
      <c r="C8" s="57" t="s">
        <v>7</v>
      </c>
      <c r="D8" s="58"/>
      <c r="E8" s="57" t="s">
        <v>8</v>
      </c>
      <c r="F8" s="58"/>
      <c r="G8" s="57" t="s">
        <v>9</v>
      </c>
      <c r="H8" s="58"/>
      <c r="I8" s="57" t="s">
        <v>10</v>
      </c>
      <c r="J8" s="58"/>
      <c r="K8" s="91" t="s">
        <v>22</v>
      </c>
      <c r="L8" s="59" t="s">
        <v>11</v>
      </c>
      <c r="M8" s="60"/>
      <c r="N8" s="59" t="s">
        <v>12</v>
      </c>
      <c r="O8" s="73"/>
      <c r="P8" s="73"/>
      <c r="Q8" s="60"/>
      <c r="R8" s="59" t="s">
        <v>13</v>
      </c>
      <c r="S8" s="60"/>
      <c r="T8" s="59" t="s">
        <v>7</v>
      </c>
      <c r="U8" s="60"/>
      <c r="V8" s="81" t="s">
        <v>22</v>
      </c>
      <c r="W8" s="70" t="s">
        <v>13</v>
      </c>
      <c r="X8" s="71"/>
      <c r="Y8" s="70" t="s">
        <v>14</v>
      </c>
      <c r="Z8" s="71"/>
    </row>
    <row r="9" spans="1:26" ht="27.5" customHeight="1" x14ac:dyDescent="0.35">
      <c r="A9" s="88"/>
      <c r="B9" s="90"/>
      <c r="C9" s="2" t="s">
        <v>16</v>
      </c>
      <c r="D9" s="2" t="s">
        <v>33</v>
      </c>
      <c r="E9" s="2" t="s">
        <v>17</v>
      </c>
      <c r="F9" s="2" t="s">
        <v>33</v>
      </c>
      <c r="G9" s="2" t="s">
        <v>16</v>
      </c>
      <c r="H9" s="2" t="s">
        <v>33</v>
      </c>
      <c r="I9" s="2" t="s">
        <v>17</v>
      </c>
      <c r="J9" s="2" t="s">
        <v>33</v>
      </c>
      <c r="K9" s="92"/>
      <c r="L9" s="1" t="s">
        <v>16</v>
      </c>
      <c r="M9" s="1" t="s">
        <v>33</v>
      </c>
      <c r="N9" s="1" t="s">
        <v>18</v>
      </c>
      <c r="O9" s="1" t="s">
        <v>33</v>
      </c>
      <c r="P9" s="1" t="s">
        <v>17</v>
      </c>
      <c r="Q9" s="1" t="s">
        <v>33</v>
      </c>
      <c r="R9" s="1" t="s">
        <v>20</v>
      </c>
      <c r="S9" s="1" t="s">
        <v>33</v>
      </c>
      <c r="T9" s="1" t="s">
        <v>20</v>
      </c>
      <c r="U9" s="1" t="s">
        <v>33</v>
      </c>
      <c r="V9" s="82"/>
      <c r="W9" s="3" t="s">
        <v>21</v>
      </c>
      <c r="X9" s="3" t="s">
        <v>33</v>
      </c>
      <c r="Y9" s="3" t="s">
        <v>21</v>
      </c>
      <c r="Z9" s="3" t="s">
        <v>33</v>
      </c>
    </row>
    <row r="10" spans="1:26" x14ac:dyDescent="0.35">
      <c r="A10" s="7" t="s">
        <v>23</v>
      </c>
      <c r="B10" s="9">
        <v>442</v>
      </c>
      <c r="C10" s="26">
        <v>121</v>
      </c>
      <c r="D10" s="37">
        <f>C10/B10</f>
        <v>0.27375565610859731</v>
      </c>
      <c r="E10" s="26">
        <v>125</v>
      </c>
      <c r="F10" s="37">
        <f>E10/B10</f>
        <v>0.28280542986425339</v>
      </c>
      <c r="G10" s="26">
        <v>121</v>
      </c>
      <c r="H10" s="37">
        <f>G10/B10</f>
        <v>0.27375565610859731</v>
      </c>
      <c r="I10" s="26">
        <v>127</v>
      </c>
      <c r="J10" s="37">
        <f>I10/B10</f>
        <v>0.28733031674208143</v>
      </c>
      <c r="K10" s="26">
        <v>595</v>
      </c>
      <c r="L10" s="27">
        <v>151</v>
      </c>
      <c r="M10" s="37">
        <f>L10/K10</f>
        <v>0.253781512605042</v>
      </c>
      <c r="N10" s="27">
        <v>151</v>
      </c>
      <c r="O10" s="37">
        <f>N10/K10</f>
        <v>0.253781512605042</v>
      </c>
      <c r="P10" s="26">
        <v>151</v>
      </c>
      <c r="Q10" s="37">
        <f>P10/K10</f>
        <v>0.253781512605042</v>
      </c>
      <c r="R10" s="26">
        <v>112</v>
      </c>
      <c r="S10" s="37">
        <f t="shared" ref="S10:S18" si="0">R10/K10</f>
        <v>0.18823529411764706</v>
      </c>
      <c r="T10" s="26">
        <v>160</v>
      </c>
      <c r="U10" s="37">
        <f>T10/K10</f>
        <v>0.26890756302521007</v>
      </c>
      <c r="V10" s="26">
        <v>734</v>
      </c>
      <c r="W10" s="26">
        <v>207</v>
      </c>
      <c r="X10" s="37">
        <f>W10/V10</f>
        <v>0.28201634877384196</v>
      </c>
      <c r="Y10" s="26">
        <v>200</v>
      </c>
      <c r="Z10" s="37">
        <f>Y10/V10</f>
        <v>0.27247956403269757</v>
      </c>
    </row>
    <row r="11" spans="1:26" x14ac:dyDescent="0.35">
      <c r="A11" s="7" t="s">
        <v>24</v>
      </c>
      <c r="B11" s="9">
        <v>635</v>
      </c>
      <c r="C11" s="27">
        <v>195</v>
      </c>
      <c r="D11" s="37">
        <f t="shared" ref="D11:D18" si="1">C11/B11</f>
        <v>0.30708661417322836</v>
      </c>
      <c r="E11" s="27">
        <v>191</v>
      </c>
      <c r="F11" s="37">
        <f t="shared" ref="F11:F18" si="2">E11/B11</f>
        <v>0.30078740157480316</v>
      </c>
      <c r="G11" s="27">
        <v>194</v>
      </c>
      <c r="H11" s="37">
        <f t="shared" ref="H11:H18" si="3">G11/B11</f>
        <v>0.30551181102362207</v>
      </c>
      <c r="I11" s="27">
        <v>189</v>
      </c>
      <c r="J11" s="37">
        <f t="shared" ref="J11:J18" si="4">I11/B11</f>
        <v>0.29763779527559053</v>
      </c>
      <c r="K11" s="26">
        <v>711</v>
      </c>
      <c r="L11" s="27">
        <v>208</v>
      </c>
      <c r="M11" s="37">
        <f t="shared" ref="M11:M18" si="5">L11/K11</f>
        <v>0.29254571026722925</v>
      </c>
      <c r="N11" s="27">
        <v>215</v>
      </c>
      <c r="O11" s="37">
        <f t="shared" ref="O11:O18" si="6">N11/K11</f>
        <v>0.30239099859353025</v>
      </c>
      <c r="P11" s="26">
        <v>169</v>
      </c>
      <c r="Q11" s="37">
        <f t="shared" ref="Q11:Q18" si="7">P11/K11</f>
        <v>0.23769338959212377</v>
      </c>
      <c r="R11" s="26">
        <v>131</v>
      </c>
      <c r="S11" s="37">
        <f t="shared" si="0"/>
        <v>0.18424753867791843</v>
      </c>
      <c r="T11" s="26">
        <v>193</v>
      </c>
      <c r="U11" s="37">
        <f t="shared" ref="U11:U18" si="8">T11/K11</f>
        <v>0.27144866385372712</v>
      </c>
      <c r="V11" s="26">
        <v>806</v>
      </c>
      <c r="W11" s="26">
        <v>231</v>
      </c>
      <c r="X11" s="37">
        <f t="shared" ref="X11:X18" si="9">W11/V11</f>
        <v>0.28660049627791562</v>
      </c>
      <c r="Y11" s="26">
        <v>225</v>
      </c>
      <c r="Z11" s="37">
        <f t="shared" ref="Z11:Z18" si="10">Y11/V11</f>
        <v>0.27915632754342434</v>
      </c>
    </row>
    <row r="12" spans="1:26" x14ac:dyDescent="0.35">
      <c r="A12" s="7" t="s">
        <v>25</v>
      </c>
      <c r="B12" s="9">
        <v>130</v>
      </c>
      <c r="C12" s="27">
        <v>38</v>
      </c>
      <c r="D12" s="37">
        <f t="shared" si="1"/>
        <v>0.29230769230769232</v>
      </c>
      <c r="E12" s="27">
        <v>34</v>
      </c>
      <c r="F12" s="37">
        <f t="shared" si="2"/>
        <v>0.26153846153846155</v>
      </c>
      <c r="G12" s="27">
        <v>38</v>
      </c>
      <c r="H12" s="37">
        <f t="shared" si="3"/>
        <v>0.29230769230769232</v>
      </c>
      <c r="I12" s="27">
        <v>35</v>
      </c>
      <c r="J12" s="37">
        <f t="shared" si="4"/>
        <v>0.26923076923076922</v>
      </c>
      <c r="K12" s="26">
        <v>161</v>
      </c>
      <c r="L12" s="27">
        <v>48</v>
      </c>
      <c r="M12" s="37">
        <f t="shared" si="5"/>
        <v>0.29813664596273293</v>
      </c>
      <c r="N12" s="27">
        <v>49</v>
      </c>
      <c r="O12" s="37">
        <f t="shared" si="6"/>
        <v>0.30434782608695654</v>
      </c>
      <c r="P12" s="26">
        <v>45</v>
      </c>
      <c r="Q12" s="37">
        <f t="shared" si="7"/>
        <v>0.27950310559006208</v>
      </c>
      <c r="R12" s="26">
        <v>29</v>
      </c>
      <c r="S12" s="37">
        <f t="shared" si="0"/>
        <v>0.18012422360248448</v>
      </c>
      <c r="T12" s="26">
        <v>46</v>
      </c>
      <c r="U12" s="37">
        <f t="shared" si="8"/>
        <v>0.2857142857142857</v>
      </c>
      <c r="V12" s="26">
        <v>221</v>
      </c>
      <c r="W12" s="26">
        <v>72</v>
      </c>
      <c r="X12" s="37">
        <f t="shared" si="9"/>
        <v>0.32579185520361992</v>
      </c>
      <c r="Y12" s="26">
        <v>71</v>
      </c>
      <c r="Z12" s="37">
        <f t="shared" si="10"/>
        <v>0.32126696832579188</v>
      </c>
    </row>
    <row r="13" spans="1:26" x14ac:dyDescent="0.35">
      <c r="A13" s="7" t="s">
        <v>26</v>
      </c>
      <c r="B13" s="9">
        <v>402</v>
      </c>
      <c r="C13" s="27">
        <v>147</v>
      </c>
      <c r="D13" s="37">
        <f t="shared" si="1"/>
        <v>0.36567164179104478</v>
      </c>
      <c r="E13" s="27">
        <v>131</v>
      </c>
      <c r="F13" s="37">
        <f t="shared" si="2"/>
        <v>0.32587064676616917</v>
      </c>
      <c r="G13" s="27">
        <v>148</v>
      </c>
      <c r="H13" s="37">
        <f t="shared" si="3"/>
        <v>0.36815920398009949</v>
      </c>
      <c r="I13" s="27">
        <v>131</v>
      </c>
      <c r="J13" s="37">
        <f t="shared" si="4"/>
        <v>0.32587064676616917</v>
      </c>
      <c r="K13" s="26">
        <v>489</v>
      </c>
      <c r="L13" s="27">
        <v>151</v>
      </c>
      <c r="M13" s="37">
        <f t="shared" si="5"/>
        <v>0.30879345603271985</v>
      </c>
      <c r="N13" s="27">
        <v>157</v>
      </c>
      <c r="O13" s="37">
        <f t="shared" si="6"/>
        <v>0.32106339468302658</v>
      </c>
      <c r="P13" s="26">
        <v>127</v>
      </c>
      <c r="Q13" s="37">
        <f t="shared" si="7"/>
        <v>0.25971370143149286</v>
      </c>
      <c r="R13" s="26">
        <v>100</v>
      </c>
      <c r="S13" s="37">
        <f t="shared" si="0"/>
        <v>0.20449897750511248</v>
      </c>
      <c r="T13" s="26">
        <v>123</v>
      </c>
      <c r="U13" s="37">
        <f t="shared" si="8"/>
        <v>0.25153374233128833</v>
      </c>
      <c r="V13" s="26">
        <v>676</v>
      </c>
      <c r="W13" s="26">
        <v>178</v>
      </c>
      <c r="X13" s="37">
        <f t="shared" si="9"/>
        <v>0.26331360946745563</v>
      </c>
      <c r="Y13" s="26">
        <v>180</v>
      </c>
      <c r="Z13" s="37">
        <f t="shared" si="10"/>
        <v>0.26627218934911245</v>
      </c>
    </row>
    <row r="14" spans="1:26" x14ac:dyDescent="0.35">
      <c r="A14" s="7" t="s">
        <v>28</v>
      </c>
      <c r="B14" s="9">
        <v>132</v>
      </c>
      <c r="C14" s="27">
        <v>64</v>
      </c>
      <c r="D14" s="37">
        <f t="shared" si="1"/>
        <v>0.48484848484848486</v>
      </c>
      <c r="E14" s="27">
        <v>57</v>
      </c>
      <c r="F14" s="37">
        <f t="shared" si="2"/>
        <v>0.43181818181818182</v>
      </c>
      <c r="G14" s="27">
        <v>64</v>
      </c>
      <c r="H14" s="37">
        <f t="shared" si="3"/>
        <v>0.48484848484848486</v>
      </c>
      <c r="I14" s="27">
        <v>57</v>
      </c>
      <c r="J14" s="37">
        <f t="shared" si="4"/>
        <v>0.43181818181818182</v>
      </c>
      <c r="K14" s="26">
        <v>167</v>
      </c>
      <c r="L14" s="27">
        <v>48</v>
      </c>
      <c r="M14" s="37">
        <f t="shared" si="5"/>
        <v>0.28742514970059879</v>
      </c>
      <c r="N14" s="27">
        <v>48</v>
      </c>
      <c r="O14" s="37">
        <f t="shared" si="6"/>
        <v>0.28742514970059879</v>
      </c>
      <c r="P14" s="26">
        <v>35</v>
      </c>
      <c r="Q14" s="37">
        <f t="shared" si="7"/>
        <v>0.20958083832335328</v>
      </c>
      <c r="R14" s="26">
        <v>18</v>
      </c>
      <c r="S14" s="37">
        <f t="shared" si="0"/>
        <v>0.10778443113772455</v>
      </c>
      <c r="T14" s="26">
        <v>38</v>
      </c>
      <c r="U14" s="37">
        <f t="shared" si="8"/>
        <v>0.22754491017964071</v>
      </c>
      <c r="V14" s="26">
        <v>255</v>
      </c>
      <c r="W14" s="26">
        <v>89</v>
      </c>
      <c r="X14" s="37">
        <f t="shared" si="9"/>
        <v>0.34901960784313724</v>
      </c>
      <c r="Y14" s="26">
        <v>88</v>
      </c>
      <c r="Z14" s="37">
        <f t="shared" si="10"/>
        <v>0.34509803921568627</v>
      </c>
    </row>
    <row r="15" spans="1:26" x14ac:dyDescent="0.35">
      <c r="A15" s="7" t="s">
        <v>29</v>
      </c>
      <c r="B15" s="9">
        <v>945</v>
      </c>
      <c r="C15" s="27">
        <v>321</v>
      </c>
      <c r="D15" s="37">
        <f t="shared" si="1"/>
        <v>0.3396825396825397</v>
      </c>
      <c r="E15" s="27">
        <v>329</v>
      </c>
      <c r="F15" s="37">
        <f t="shared" si="2"/>
        <v>0.34814814814814815</v>
      </c>
      <c r="G15" s="27">
        <v>322</v>
      </c>
      <c r="H15" s="37">
        <f t="shared" si="3"/>
        <v>0.34074074074074073</v>
      </c>
      <c r="I15" s="27">
        <v>335</v>
      </c>
      <c r="J15" s="37">
        <f t="shared" si="4"/>
        <v>0.35449735449735448</v>
      </c>
      <c r="K15" s="26">
        <v>1174</v>
      </c>
      <c r="L15" s="27">
        <v>362</v>
      </c>
      <c r="M15" s="37">
        <f t="shared" si="5"/>
        <v>0.30834752981260649</v>
      </c>
      <c r="N15" s="27">
        <v>366</v>
      </c>
      <c r="O15" s="37">
        <f t="shared" si="6"/>
        <v>0.31175468483816016</v>
      </c>
      <c r="P15" s="26">
        <v>315</v>
      </c>
      <c r="Q15" s="37">
        <f t="shared" si="7"/>
        <v>0.26831345826235092</v>
      </c>
      <c r="R15" s="26">
        <v>191</v>
      </c>
      <c r="S15" s="37">
        <f t="shared" si="0"/>
        <v>0.16269165247018738</v>
      </c>
      <c r="T15" s="26">
        <v>332</v>
      </c>
      <c r="U15" s="37">
        <f t="shared" si="8"/>
        <v>0.282793867120954</v>
      </c>
      <c r="V15" s="26">
        <v>1562</v>
      </c>
      <c r="W15" s="26">
        <v>521</v>
      </c>
      <c r="X15" s="37">
        <f t="shared" si="9"/>
        <v>0.33354673495518566</v>
      </c>
      <c r="Y15" s="26">
        <v>507</v>
      </c>
      <c r="Z15" s="37">
        <f t="shared" si="10"/>
        <v>0.32458386683738799</v>
      </c>
    </row>
    <row r="16" spans="1:26" x14ac:dyDescent="0.35">
      <c r="A16" s="7" t="s">
        <v>34</v>
      </c>
      <c r="B16" s="9">
        <v>321</v>
      </c>
      <c r="C16" s="27">
        <v>54</v>
      </c>
      <c r="D16" s="37">
        <f t="shared" si="1"/>
        <v>0.16822429906542055</v>
      </c>
      <c r="E16" s="27">
        <v>62</v>
      </c>
      <c r="F16" s="37">
        <f t="shared" si="2"/>
        <v>0.19314641744548286</v>
      </c>
      <c r="G16" s="27">
        <v>55</v>
      </c>
      <c r="H16" s="37">
        <f t="shared" si="3"/>
        <v>0.17133956386292834</v>
      </c>
      <c r="I16" s="27">
        <v>62</v>
      </c>
      <c r="J16" s="37">
        <f t="shared" si="4"/>
        <v>0.19314641744548286</v>
      </c>
      <c r="K16" s="26">
        <v>327</v>
      </c>
      <c r="L16" s="27">
        <v>65</v>
      </c>
      <c r="M16" s="37">
        <f t="shared" si="5"/>
        <v>0.19877675840978593</v>
      </c>
      <c r="N16" s="27">
        <v>66</v>
      </c>
      <c r="O16" s="37">
        <f t="shared" si="6"/>
        <v>0.20183486238532111</v>
      </c>
      <c r="P16" s="26">
        <v>34</v>
      </c>
      <c r="Q16" s="37">
        <f t="shared" si="7"/>
        <v>0.10397553516819572</v>
      </c>
      <c r="R16" s="26">
        <v>32</v>
      </c>
      <c r="S16" s="37">
        <f t="shared" si="0"/>
        <v>9.7859327217125383E-2</v>
      </c>
      <c r="T16" s="26">
        <v>47</v>
      </c>
      <c r="U16" s="37">
        <f t="shared" si="8"/>
        <v>0.14373088685015289</v>
      </c>
      <c r="V16" s="26">
        <v>436</v>
      </c>
      <c r="W16" s="26">
        <v>53</v>
      </c>
      <c r="X16" s="37">
        <f t="shared" si="9"/>
        <v>0.12155963302752294</v>
      </c>
      <c r="Y16" s="26">
        <v>55</v>
      </c>
      <c r="Z16" s="37">
        <f t="shared" si="10"/>
        <v>0.12614678899082568</v>
      </c>
    </row>
    <row r="17" spans="1:26" x14ac:dyDescent="0.35">
      <c r="A17" s="13" t="s">
        <v>27</v>
      </c>
      <c r="B17" s="29">
        <v>1222</v>
      </c>
      <c r="C17" s="27">
        <f>SUM(C19:C20)</f>
        <v>388</v>
      </c>
      <c r="D17" s="37">
        <f t="shared" si="1"/>
        <v>0.31751227495908346</v>
      </c>
      <c r="E17" s="27">
        <f>SUM(E19:E20)</f>
        <v>399</v>
      </c>
      <c r="F17" s="37">
        <f t="shared" si="2"/>
        <v>0.32651391162029458</v>
      </c>
      <c r="G17" s="27">
        <f>SUM(G19:G20)</f>
        <v>386</v>
      </c>
      <c r="H17" s="37">
        <f t="shared" si="3"/>
        <v>0.3158756137479542</v>
      </c>
      <c r="I17" s="27">
        <f>SUM(I19:I20)</f>
        <v>407</v>
      </c>
      <c r="J17" s="37">
        <f t="shared" si="4"/>
        <v>0.33306055646481181</v>
      </c>
      <c r="K17" s="27">
        <v>1482</v>
      </c>
      <c r="L17" s="27">
        <f>SUM(L19:L20)</f>
        <v>471</v>
      </c>
      <c r="M17" s="37">
        <f t="shared" si="5"/>
        <v>0.31781376518218624</v>
      </c>
      <c r="N17" s="27">
        <f>SUM(N19:N20)</f>
        <v>482</v>
      </c>
      <c r="O17" s="37">
        <f t="shared" si="6"/>
        <v>0.32523616734143052</v>
      </c>
      <c r="P17" s="27">
        <f>SUM(P19:P20)</f>
        <v>384</v>
      </c>
      <c r="Q17" s="37">
        <f t="shared" si="7"/>
        <v>0.25910931174089069</v>
      </c>
      <c r="R17" s="27">
        <f>SUM(R19:R20)</f>
        <v>270</v>
      </c>
      <c r="S17" s="37">
        <f t="shared" si="0"/>
        <v>0.18218623481781376</v>
      </c>
      <c r="T17" s="27">
        <f>SUM(T19:T20)</f>
        <v>440</v>
      </c>
      <c r="U17" s="37">
        <f t="shared" si="8"/>
        <v>0.29689608636977061</v>
      </c>
      <c r="V17" s="27">
        <v>2023</v>
      </c>
      <c r="W17" s="27">
        <f>SUM(W19:W20)</f>
        <v>625</v>
      </c>
      <c r="X17" s="37">
        <f t="shared" si="9"/>
        <v>0.30894710825506672</v>
      </c>
      <c r="Y17" s="27">
        <f>SUM(Y19:Y20)</f>
        <v>624</v>
      </c>
      <c r="Z17" s="37">
        <f t="shared" si="10"/>
        <v>0.30845279288185862</v>
      </c>
    </row>
    <row r="18" spans="1:26" ht="15.5" customHeight="1" x14ac:dyDescent="0.35">
      <c r="A18" s="8" t="s">
        <v>30</v>
      </c>
      <c r="B18" s="30">
        <f>SUM(B10:B17)</f>
        <v>4229</v>
      </c>
      <c r="C18" s="28">
        <f>SUM(C10:C17)</f>
        <v>1328</v>
      </c>
      <c r="D18" s="37">
        <f t="shared" si="1"/>
        <v>0.31402222747694492</v>
      </c>
      <c r="E18" s="28">
        <f>SUM(E10:E17)</f>
        <v>1328</v>
      </c>
      <c r="F18" s="37">
        <f t="shared" si="2"/>
        <v>0.31402222747694492</v>
      </c>
      <c r="G18" s="28">
        <f>SUM(G10:G17)</f>
        <v>1328</v>
      </c>
      <c r="H18" s="37">
        <f t="shared" si="3"/>
        <v>0.31402222747694492</v>
      </c>
      <c r="I18" s="28">
        <f>SUM(I10:I17)</f>
        <v>1343</v>
      </c>
      <c r="J18" s="37">
        <f t="shared" si="4"/>
        <v>0.31756916528730195</v>
      </c>
      <c r="K18" s="28">
        <f>SUM(K10:K17)</f>
        <v>5106</v>
      </c>
      <c r="L18" s="28">
        <f>SUM(L10:L17)</f>
        <v>1504</v>
      </c>
      <c r="M18" s="37">
        <f t="shared" si="5"/>
        <v>0.29455542499020759</v>
      </c>
      <c r="N18" s="28">
        <f>SUM(N10:N17)</f>
        <v>1534</v>
      </c>
      <c r="O18" s="37">
        <f t="shared" si="6"/>
        <v>0.30043086564825694</v>
      </c>
      <c r="P18" s="28">
        <f>SUM(P10:P17)</f>
        <v>1260</v>
      </c>
      <c r="Q18" s="37">
        <f t="shared" si="7"/>
        <v>0.24676850763807284</v>
      </c>
      <c r="R18" s="28">
        <f>SUM(R10:R17)</f>
        <v>883</v>
      </c>
      <c r="S18" s="37">
        <f t="shared" si="0"/>
        <v>0.17293380336858596</v>
      </c>
      <c r="T18" s="28">
        <f>SUM(T10:T17)</f>
        <v>1379</v>
      </c>
      <c r="U18" s="37">
        <f t="shared" si="8"/>
        <v>0.27007442224833528</v>
      </c>
      <c r="V18" s="28">
        <f>SUM(V10:V17)</f>
        <v>6713</v>
      </c>
      <c r="W18" s="28">
        <f>SUM(W10:W17)</f>
        <v>1976</v>
      </c>
      <c r="X18" s="37">
        <f t="shared" si="9"/>
        <v>0.29435423804558319</v>
      </c>
      <c r="Y18" s="28">
        <f>SUM(Y10:Y17)</f>
        <v>1950</v>
      </c>
      <c r="Z18" s="37">
        <f t="shared" si="10"/>
        <v>0.29048115596603608</v>
      </c>
    </row>
    <row r="19" spans="1:26" ht="14.5" hidden="1" customHeight="1" x14ac:dyDescent="0.35">
      <c r="A19" s="20"/>
      <c r="B19" s="22"/>
      <c r="C19" s="23">
        <v>356</v>
      </c>
      <c r="D19" s="20"/>
      <c r="E19" s="20">
        <v>372</v>
      </c>
      <c r="F19" s="20"/>
      <c r="G19" s="50">
        <v>354</v>
      </c>
      <c r="H19" s="20"/>
      <c r="I19" s="15">
        <v>380</v>
      </c>
      <c r="J19" s="20"/>
      <c r="K19" s="20"/>
      <c r="L19" s="15">
        <v>431</v>
      </c>
      <c r="M19" s="20"/>
      <c r="N19" s="15">
        <v>442</v>
      </c>
      <c r="O19" s="20"/>
      <c r="P19" s="15">
        <v>361</v>
      </c>
      <c r="Q19" s="20"/>
      <c r="R19" s="15">
        <v>248</v>
      </c>
      <c r="S19" s="20"/>
      <c r="T19" s="15">
        <v>409</v>
      </c>
      <c r="U19" s="20"/>
      <c r="V19" s="20"/>
      <c r="W19" s="15">
        <v>569</v>
      </c>
      <c r="X19" s="20"/>
      <c r="Y19" s="15">
        <v>568</v>
      </c>
      <c r="Z19" s="20"/>
    </row>
    <row r="20" spans="1:26" ht="14.5" hidden="1" customHeight="1" x14ac:dyDescent="0.35">
      <c r="A20" s="20"/>
      <c r="B20" s="22"/>
      <c r="C20" s="48">
        <v>32</v>
      </c>
      <c r="D20" s="20"/>
      <c r="E20" s="48">
        <v>27</v>
      </c>
      <c r="F20" s="20"/>
      <c r="G20" s="48">
        <v>32</v>
      </c>
      <c r="H20" s="20"/>
      <c r="I20" s="48">
        <v>27</v>
      </c>
      <c r="J20" s="20"/>
      <c r="K20" s="20"/>
      <c r="L20" s="48">
        <v>40</v>
      </c>
      <c r="M20" s="20"/>
      <c r="N20" s="48">
        <v>40</v>
      </c>
      <c r="O20" s="20"/>
      <c r="P20" s="48">
        <v>23</v>
      </c>
      <c r="Q20" s="20"/>
      <c r="R20" s="48">
        <v>22</v>
      </c>
      <c r="S20" s="20"/>
      <c r="T20" s="48">
        <v>31</v>
      </c>
      <c r="U20" s="20"/>
      <c r="V20" s="20"/>
      <c r="W20" s="48">
        <v>56</v>
      </c>
      <c r="X20" s="20"/>
      <c r="Y20" s="48">
        <v>56</v>
      </c>
      <c r="Z20" s="20"/>
    </row>
    <row r="21" spans="1:26" x14ac:dyDescent="0.35">
      <c r="A21" s="78" t="s">
        <v>38</v>
      </c>
      <c r="B21" s="78"/>
      <c r="C21" s="78"/>
      <c r="D21" s="78"/>
      <c r="E21" s="78"/>
      <c r="F21" s="78"/>
      <c r="G21" s="78"/>
      <c r="H21" s="78"/>
      <c r="I21" s="78"/>
      <c r="J21" s="78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x14ac:dyDescent="0.35">
      <c r="A22" s="78" t="s">
        <v>48</v>
      </c>
      <c r="B22" s="78"/>
      <c r="C22" s="78"/>
      <c r="D22" s="78"/>
      <c r="E22" s="78"/>
      <c r="F22" s="78"/>
      <c r="G22" s="78"/>
      <c r="H22" s="78"/>
      <c r="I22" s="78"/>
      <c r="J22" s="78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s="32" customFormat="1" x14ac:dyDescent="0.35">
      <c r="B23" s="33"/>
    </row>
    <row r="24" spans="1:26" ht="14.5" customHeight="1" x14ac:dyDescent="0.35">
      <c r="A24" s="86" t="s">
        <v>36</v>
      </c>
      <c r="B24" s="68" t="s">
        <v>3</v>
      </c>
      <c r="C24" s="74"/>
      <c r="D24" s="69"/>
      <c r="E24" s="65" t="s">
        <v>4</v>
      </c>
      <c r="F24" s="66"/>
      <c r="G24" s="66"/>
      <c r="H24" s="66"/>
      <c r="I24" s="66"/>
      <c r="J24" s="67"/>
      <c r="K24" s="79" t="s">
        <v>5</v>
      </c>
      <c r="L24" s="85"/>
      <c r="M24" s="85"/>
      <c r="N24" s="85"/>
      <c r="O24" s="85"/>
      <c r="P24" s="80"/>
      <c r="Q24" s="32"/>
      <c r="R24" s="96" t="s">
        <v>43</v>
      </c>
      <c r="S24" s="96"/>
      <c r="T24" s="96"/>
      <c r="U24" s="32"/>
      <c r="V24" s="32"/>
      <c r="W24" s="32"/>
      <c r="X24" s="32"/>
    </row>
    <row r="25" spans="1:26" ht="14.5" customHeight="1" x14ac:dyDescent="0.35">
      <c r="A25" s="87"/>
      <c r="B25" s="75" t="s">
        <v>22</v>
      </c>
      <c r="C25" s="68" t="s">
        <v>6</v>
      </c>
      <c r="D25" s="69"/>
      <c r="E25" s="63" t="s">
        <v>22</v>
      </c>
      <c r="F25" s="65" t="s">
        <v>31</v>
      </c>
      <c r="G25" s="67"/>
      <c r="H25" s="63" t="s">
        <v>22</v>
      </c>
      <c r="I25" s="65" t="s">
        <v>32</v>
      </c>
      <c r="J25" s="67"/>
      <c r="K25" s="61" t="s">
        <v>22</v>
      </c>
      <c r="L25" s="79" t="s">
        <v>8</v>
      </c>
      <c r="M25" s="80"/>
      <c r="N25" s="83" t="s">
        <v>22</v>
      </c>
      <c r="O25" s="79" t="s">
        <v>15</v>
      </c>
      <c r="P25" s="80"/>
      <c r="Q25" s="32"/>
      <c r="R25" s="96"/>
      <c r="S25" s="96"/>
      <c r="T25" s="96"/>
      <c r="U25" s="32"/>
      <c r="V25" s="32"/>
      <c r="W25" s="32"/>
      <c r="X25" s="32"/>
    </row>
    <row r="26" spans="1:26" x14ac:dyDescent="0.35">
      <c r="A26" s="88"/>
      <c r="B26" s="76"/>
      <c r="C26" s="4" t="s">
        <v>19</v>
      </c>
      <c r="D26" s="4" t="s">
        <v>33</v>
      </c>
      <c r="E26" s="64"/>
      <c r="F26" s="5" t="s">
        <v>19</v>
      </c>
      <c r="G26" s="5" t="s">
        <v>33</v>
      </c>
      <c r="H26" s="64"/>
      <c r="I26" s="5" t="s">
        <v>19</v>
      </c>
      <c r="J26" s="5" t="s">
        <v>33</v>
      </c>
      <c r="K26" s="62"/>
      <c r="L26" s="6" t="s">
        <v>19</v>
      </c>
      <c r="M26" s="6" t="s">
        <v>33</v>
      </c>
      <c r="N26" s="84"/>
      <c r="O26" s="6" t="s">
        <v>19</v>
      </c>
      <c r="P26" s="6" t="s">
        <v>33</v>
      </c>
      <c r="Q26" s="32"/>
      <c r="R26" s="32"/>
      <c r="S26" s="32"/>
      <c r="T26" s="32"/>
      <c r="U26" s="32"/>
      <c r="V26" s="32"/>
      <c r="W26" s="32"/>
      <c r="X26" s="32"/>
    </row>
    <row r="27" spans="1:26" ht="16.5" customHeight="1" x14ac:dyDescent="0.35">
      <c r="A27" s="47" t="s">
        <v>23</v>
      </c>
      <c r="B27" s="9">
        <v>338</v>
      </c>
      <c r="C27" s="9">
        <v>124</v>
      </c>
      <c r="D27" s="37">
        <f>C27/B27</f>
        <v>0.36686390532544377</v>
      </c>
      <c r="E27" s="9">
        <v>825</v>
      </c>
      <c r="F27" s="9">
        <v>149</v>
      </c>
      <c r="G27" s="37">
        <f>F27/E27</f>
        <v>0.1806060606060606</v>
      </c>
      <c r="H27" s="9">
        <v>546</v>
      </c>
      <c r="I27" s="9">
        <v>259</v>
      </c>
      <c r="J27" s="37">
        <f>I27/H27</f>
        <v>0.47435897435897434</v>
      </c>
      <c r="K27" s="9">
        <v>827</v>
      </c>
      <c r="L27" s="9">
        <v>168</v>
      </c>
      <c r="M27" s="37">
        <f>L27/K27</f>
        <v>0.20314389359129384</v>
      </c>
      <c r="N27" s="9">
        <v>1652</v>
      </c>
      <c r="O27" s="9">
        <v>917</v>
      </c>
      <c r="P27" s="37">
        <f>O27/N27</f>
        <v>0.55508474576271183</v>
      </c>
      <c r="Q27" s="32"/>
      <c r="R27" s="38"/>
      <c r="S27" s="39" t="s">
        <v>40</v>
      </c>
      <c r="T27" s="32"/>
      <c r="U27" s="32"/>
      <c r="V27" s="32"/>
      <c r="W27" s="32"/>
      <c r="X27" s="32"/>
    </row>
    <row r="28" spans="1:26" ht="15" customHeight="1" x14ac:dyDescent="0.4">
      <c r="A28" s="47" t="s">
        <v>24</v>
      </c>
      <c r="B28" s="9">
        <v>587</v>
      </c>
      <c r="C28" s="9">
        <v>193</v>
      </c>
      <c r="D28" s="37">
        <f>C28/B28</f>
        <v>0.32879045996592843</v>
      </c>
      <c r="E28" s="9">
        <v>1062</v>
      </c>
      <c r="F28" s="9">
        <v>159</v>
      </c>
      <c r="G28" s="37">
        <f t="shared" ref="G28:G33" si="11">F28/E28</f>
        <v>0.14971751412429379</v>
      </c>
      <c r="H28" s="9">
        <v>735</v>
      </c>
      <c r="I28" s="9">
        <v>242</v>
      </c>
      <c r="J28" s="37">
        <f t="shared" ref="J28:J36" si="12">I28/H28</f>
        <v>0.3292517006802721</v>
      </c>
      <c r="K28" s="9">
        <v>1189</v>
      </c>
      <c r="L28" s="9">
        <v>203</v>
      </c>
      <c r="M28" s="37">
        <f t="shared" ref="M28:M36" si="13">L28/K28</f>
        <v>0.17073170731707318</v>
      </c>
      <c r="N28" s="9">
        <v>2384</v>
      </c>
      <c r="O28" s="9">
        <v>1010</v>
      </c>
      <c r="P28" s="37">
        <f t="shared" ref="P28:P33" si="14">O28/N28</f>
        <v>0.42365771812080538</v>
      </c>
      <c r="Q28" s="32"/>
      <c r="R28" s="40"/>
      <c r="S28" s="41" t="s">
        <v>41</v>
      </c>
      <c r="T28" s="32"/>
      <c r="U28" s="32"/>
      <c r="V28" s="32"/>
      <c r="W28" s="32"/>
      <c r="X28" s="32"/>
    </row>
    <row r="29" spans="1:26" ht="16.5" customHeight="1" x14ac:dyDescent="0.4">
      <c r="A29" s="47" t="s">
        <v>25</v>
      </c>
      <c r="B29" s="9">
        <v>83</v>
      </c>
      <c r="C29" s="9">
        <v>33</v>
      </c>
      <c r="D29" s="37">
        <f t="shared" ref="D28:D33" si="15">C29/B29</f>
        <v>0.39759036144578314</v>
      </c>
      <c r="E29" s="9">
        <v>251</v>
      </c>
      <c r="F29" s="9">
        <v>48</v>
      </c>
      <c r="G29" s="37">
        <f t="shared" si="11"/>
        <v>0.19123505976095617</v>
      </c>
      <c r="H29" s="9">
        <v>184</v>
      </c>
      <c r="I29" s="9">
        <v>109</v>
      </c>
      <c r="J29" s="37">
        <f t="shared" si="12"/>
        <v>0.59239130434782605</v>
      </c>
      <c r="K29" s="9">
        <v>537</v>
      </c>
      <c r="L29" s="9">
        <v>51</v>
      </c>
      <c r="M29" s="37">
        <f t="shared" si="13"/>
        <v>9.4972067039106142E-2</v>
      </c>
      <c r="N29" s="9">
        <v>1074</v>
      </c>
      <c r="O29" s="9">
        <v>813</v>
      </c>
      <c r="P29" s="37">
        <f t="shared" si="14"/>
        <v>0.75698324022346364</v>
      </c>
      <c r="Q29" s="32"/>
      <c r="R29" s="42"/>
      <c r="S29" s="41" t="s">
        <v>42</v>
      </c>
      <c r="T29" s="32"/>
      <c r="U29" s="32"/>
      <c r="V29" s="32"/>
      <c r="W29" s="32"/>
      <c r="X29" s="32"/>
    </row>
    <row r="30" spans="1:26" x14ac:dyDescent="0.35">
      <c r="A30" s="7" t="s">
        <v>26</v>
      </c>
      <c r="B30" s="9">
        <v>321</v>
      </c>
      <c r="C30" s="9">
        <v>110</v>
      </c>
      <c r="D30" s="37">
        <f t="shared" si="15"/>
        <v>0.34267912772585668</v>
      </c>
      <c r="E30" s="9">
        <v>682</v>
      </c>
      <c r="F30" s="9">
        <v>75</v>
      </c>
      <c r="G30" s="37">
        <f t="shared" si="11"/>
        <v>0.10997067448680352</v>
      </c>
      <c r="H30" s="9">
        <v>476</v>
      </c>
      <c r="I30" s="9">
        <v>154</v>
      </c>
      <c r="J30" s="37">
        <f t="shared" si="12"/>
        <v>0.3235294117647059</v>
      </c>
      <c r="K30" s="9">
        <v>1076</v>
      </c>
      <c r="L30" s="9">
        <v>172</v>
      </c>
      <c r="M30" s="37">
        <f t="shared" si="13"/>
        <v>0.15985130111524162</v>
      </c>
      <c r="N30" s="9">
        <v>2145</v>
      </c>
      <c r="O30" s="9">
        <v>1292</v>
      </c>
      <c r="P30" s="37">
        <f t="shared" si="14"/>
        <v>0.60233100233100234</v>
      </c>
      <c r="Q30" s="32"/>
      <c r="R30" s="32"/>
      <c r="S30" s="32"/>
      <c r="T30" s="32"/>
      <c r="U30" s="32"/>
      <c r="V30" s="32"/>
      <c r="W30" s="32"/>
      <c r="X30" s="32"/>
    </row>
    <row r="31" spans="1:26" hidden="1" x14ac:dyDescent="0.35">
      <c r="B31" s="34"/>
      <c r="C31" s="34"/>
      <c r="D31" s="37" t="e">
        <f t="shared" si="15"/>
        <v>#DIV/0!</v>
      </c>
      <c r="E31" s="34"/>
      <c r="F31" s="34"/>
      <c r="G31" s="37" t="e">
        <f t="shared" si="11"/>
        <v>#DIV/0!</v>
      </c>
      <c r="H31" s="34"/>
      <c r="I31" s="34"/>
      <c r="J31" s="37" t="e">
        <f t="shared" si="12"/>
        <v>#DIV/0!</v>
      </c>
      <c r="K31" s="34"/>
      <c r="L31" s="34"/>
      <c r="M31" s="37" t="e">
        <f t="shared" si="13"/>
        <v>#DIV/0!</v>
      </c>
      <c r="N31" s="34"/>
      <c r="O31" s="34"/>
      <c r="P31" s="37" t="e">
        <f t="shared" si="14"/>
        <v>#DIV/0!</v>
      </c>
      <c r="Q31" s="32"/>
      <c r="R31" s="32"/>
      <c r="S31" s="32"/>
      <c r="T31" s="32"/>
      <c r="U31" s="32"/>
      <c r="V31" s="32"/>
      <c r="W31" s="32"/>
      <c r="X31" s="32"/>
    </row>
    <row r="32" spans="1:26" x14ac:dyDescent="0.35">
      <c r="A32" s="7" t="s">
        <v>28</v>
      </c>
      <c r="B32" s="9">
        <v>113</v>
      </c>
      <c r="C32" s="9">
        <v>41</v>
      </c>
      <c r="D32" s="37">
        <f t="shared" si="15"/>
        <v>0.36283185840707965</v>
      </c>
      <c r="E32" s="9">
        <v>269</v>
      </c>
      <c r="F32" s="9">
        <v>21</v>
      </c>
      <c r="G32" s="37">
        <f t="shared" si="11"/>
        <v>7.8066914498141265E-2</v>
      </c>
      <c r="H32" s="9">
        <v>241</v>
      </c>
      <c r="I32" s="9">
        <v>36</v>
      </c>
      <c r="J32" s="37">
        <f t="shared" si="12"/>
        <v>0.14937759336099585</v>
      </c>
      <c r="K32" s="9">
        <v>928</v>
      </c>
      <c r="L32" s="9">
        <v>37</v>
      </c>
      <c r="M32" s="37">
        <f t="shared" si="13"/>
        <v>3.9870689655172417E-2</v>
      </c>
      <c r="N32" s="9">
        <v>1858</v>
      </c>
      <c r="O32" s="9">
        <v>1228</v>
      </c>
      <c r="P32" s="37">
        <f t="shared" si="14"/>
        <v>0.66092572658772875</v>
      </c>
      <c r="Q32" s="32"/>
      <c r="R32" s="32"/>
      <c r="S32" s="32"/>
      <c r="T32" s="32"/>
      <c r="U32" s="32"/>
      <c r="V32" s="32"/>
      <c r="W32" s="32"/>
      <c r="X32" s="32"/>
    </row>
    <row r="33" spans="1:24" x14ac:dyDescent="0.35">
      <c r="A33" s="7" t="s">
        <v>29</v>
      </c>
      <c r="B33" s="9">
        <v>813</v>
      </c>
      <c r="C33" s="9">
        <v>287</v>
      </c>
      <c r="D33" s="37">
        <f t="shared" si="15"/>
        <v>0.35301353013530135</v>
      </c>
      <c r="E33" s="9">
        <v>1687</v>
      </c>
      <c r="F33" s="9">
        <v>304</v>
      </c>
      <c r="G33" s="37">
        <f t="shared" si="11"/>
        <v>0.18020154119739182</v>
      </c>
      <c r="H33" s="9">
        <v>1192</v>
      </c>
      <c r="I33" s="9">
        <v>369</v>
      </c>
      <c r="J33" s="37">
        <f t="shared" si="12"/>
        <v>0.30956375838926176</v>
      </c>
      <c r="K33" s="9">
        <v>1944</v>
      </c>
      <c r="L33" s="9">
        <v>343</v>
      </c>
      <c r="M33" s="37">
        <f t="shared" si="13"/>
        <v>0.17644032921810698</v>
      </c>
      <c r="N33" s="9">
        <v>3882</v>
      </c>
      <c r="O33" s="9">
        <v>2717</v>
      </c>
      <c r="P33" s="37">
        <f t="shared" si="14"/>
        <v>0.69989696032972692</v>
      </c>
      <c r="Q33" s="32"/>
      <c r="R33" s="32"/>
      <c r="S33" s="32"/>
      <c r="T33" s="32"/>
      <c r="U33" s="32"/>
      <c r="V33" s="32"/>
      <c r="W33" s="32"/>
      <c r="X33" s="32"/>
    </row>
    <row r="34" spans="1:24" x14ac:dyDescent="0.35">
      <c r="A34" s="7" t="s">
        <v>34</v>
      </c>
      <c r="B34" s="35"/>
      <c r="C34" s="9">
        <v>46</v>
      </c>
      <c r="D34" s="36"/>
      <c r="E34" s="35"/>
      <c r="F34" s="9">
        <v>15</v>
      </c>
      <c r="G34" s="36"/>
      <c r="H34" s="35"/>
      <c r="I34" s="9">
        <v>24</v>
      </c>
      <c r="J34" s="36"/>
      <c r="K34" s="35"/>
      <c r="L34" s="9">
        <v>34</v>
      </c>
      <c r="M34" s="36"/>
      <c r="N34" s="35"/>
      <c r="O34" s="9">
        <v>289</v>
      </c>
      <c r="P34" s="36"/>
      <c r="Q34" s="32"/>
      <c r="R34" s="32"/>
      <c r="S34" s="32"/>
      <c r="T34" s="32"/>
      <c r="U34" s="32"/>
      <c r="V34" s="32"/>
      <c r="W34" s="32"/>
      <c r="X34" s="32"/>
    </row>
    <row r="35" spans="1:24" x14ac:dyDescent="0.35">
      <c r="A35" s="13" t="s">
        <v>27</v>
      </c>
      <c r="B35" s="29">
        <v>1203</v>
      </c>
      <c r="C35" s="29">
        <f>SUM(C37:C38)</f>
        <v>437</v>
      </c>
      <c r="D35" s="37">
        <f>C35/B35</f>
        <v>0.36325852036575229</v>
      </c>
      <c r="E35" s="29">
        <v>2391</v>
      </c>
      <c r="F35" s="29">
        <f>SUM(F37:F38)</f>
        <v>185</v>
      </c>
      <c r="G35" s="37">
        <f>F35/E35</f>
        <v>7.7373483897950651E-2</v>
      </c>
      <c r="H35" s="29">
        <v>1650</v>
      </c>
      <c r="I35" s="29">
        <f>SUM(I37:I38)</f>
        <v>459</v>
      </c>
      <c r="J35" s="37">
        <f t="shared" si="12"/>
        <v>0.2781818181818182</v>
      </c>
      <c r="K35" s="29">
        <v>2538</v>
      </c>
      <c r="L35" s="29">
        <f>SUM(L37:L38)</f>
        <v>316</v>
      </c>
      <c r="M35" s="37">
        <f t="shared" si="13"/>
        <v>0.12450748620961387</v>
      </c>
      <c r="N35" s="29">
        <v>5073</v>
      </c>
      <c r="O35" s="29">
        <f>SUM(O37:O38)</f>
        <v>2089</v>
      </c>
      <c r="P35" s="37">
        <f t="shared" ref="P35:P36" si="16">O35/N35</f>
        <v>0.41178789670806232</v>
      </c>
      <c r="Q35" s="32"/>
      <c r="R35" s="32"/>
      <c r="S35" s="32"/>
      <c r="T35" s="32"/>
      <c r="U35" s="32"/>
      <c r="V35" s="32"/>
      <c r="W35" s="32"/>
      <c r="X35" s="32"/>
    </row>
    <row r="36" spans="1:24" ht="15" customHeight="1" x14ac:dyDescent="0.35">
      <c r="A36" s="8" t="s">
        <v>30</v>
      </c>
      <c r="B36" s="30">
        <f>SUM(B27:B35)</f>
        <v>3458</v>
      </c>
      <c r="C36" s="30">
        <f>SUM(C27:C35)</f>
        <v>1271</v>
      </c>
      <c r="D36" s="37">
        <f>C36/B36</f>
        <v>0.3675534991324465</v>
      </c>
      <c r="E36" s="30">
        <f>SUM(E27:E35)</f>
        <v>7167</v>
      </c>
      <c r="F36" s="30">
        <f>SUM(F27:F35)</f>
        <v>956</v>
      </c>
      <c r="G36" s="37">
        <f>F36/E36</f>
        <v>0.13338914469094459</v>
      </c>
      <c r="H36" s="30">
        <f>SUM(H27:H35)</f>
        <v>5024</v>
      </c>
      <c r="I36" s="30">
        <f>SUM(I27:I35)</f>
        <v>1652</v>
      </c>
      <c r="J36" s="37">
        <f t="shared" si="12"/>
        <v>0.32882165605095542</v>
      </c>
      <c r="K36" s="30">
        <f>SUM(K27:K35)</f>
        <v>9039</v>
      </c>
      <c r="L36" s="30">
        <f>SUM(L27:L35)</f>
        <v>1324</v>
      </c>
      <c r="M36" s="37">
        <f t="shared" si="13"/>
        <v>0.14647638013054542</v>
      </c>
      <c r="N36" s="30">
        <f>SUM(N27:N35)</f>
        <v>18068</v>
      </c>
      <c r="O36" s="30">
        <f>SUM(O27:O35)</f>
        <v>10355</v>
      </c>
      <c r="P36" s="37">
        <f t="shared" si="16"/>
        <v>0.57311268541067084</v>
      </c>
      <c r="Q36" s="32"/>
      <c r="R36" s="32"/>
      <c r="S36" s="32"/>
      <c r="T36" s="32"/>
      <c r="U36" s="32"/>
      <c r="V36" s="32"/>
      <c r="W36" s="32"/>
      <c r="X36" s="32"/>
    </row>
    <row r="37" spans="1:24" ht="15.5" hidden="1" customHeight="1" x14ac:dyDescent="0.35">
      <c r="B37" s="20"/>
      <c r="C37" s="15">
        <v>401</v>
      </c>
      <c r="D37" s="20"/>
      <c r="E37" s="20"/>
      <c r="F37" s="15">
        <v>173</v>
      </c>
      <c r="G37" s="20"/>
      <c r="H37" s="20"/>
      <c r="I37" s="15">
        <v>447</v>
      </c>
      <c r="J37" s="20"/>
      <c r="K37" s="20"/>
      <c r="L37" s="15">
        <v>303</v>
      </c>
      <c r="M37" s="20"/>
      <c r="N37" s="20"/>
      <c r="O37" s="15">
        <v>2084</v>
      </c>
      <c r="P37" s="20"/>
      <c r="Q37" s="32"/>
      <c r="R37" s="32"/>
      <c r="S37" s="32"/>
      <c r="T37" s="32"/>
      <c r="U37" s="32"/>
      <c r="V37" s="32"/>
      <c r="W37" s="32"/>
      <c r="X37" s="32"/>
    </row>
    <row r="38" spans="1:24" ht="18" hidden="1" customHeight="1" x14ac:dyDescent="0.35">
      <c r="B38" s="20"/>
      <c r="C38" s="49">
        <v>36</v>
      </c>
      <c r="D38" s="20"/>
      <c r="E38" s="20"/>
      <c r="F38" s="49">
        <v>12</v>
      </c>
      <c r="G38" s="20"/>
      <c r="H38" s="20"/>
      <c r="I38" s="49">
        <v>12</v>
      </c>
      <c r="J38" s="20"/>
      <c r="K38" s="20"/>
      <c r="L38" s="49">
        <v>13</v>
      </c>
      <c r="M38" s="20"/>
      <c r="N38" s="20"/>
      <c r="O38" s="49">
        <v>5</v>
      </c>
      <c r="P38" s="20"/>
      <c r="Q38" s="32"/>
      <c r="R38" s="32"/>
      <c r="S38" s="32"/>
      <c r="T38" s="32"/>
      <c r="U38" s="32"/>
      <c r="V38" s="32"/>
      <c r="W38" s="32"/>
      <c r="X38" s="32"/>
    </row>
    <row r="39" spans="1:24" x14ac:dyDescent="0.35">
      <c r="A39" s="78" t="s">
        <v>38</v>
      </c>
      <c r="B39" s="78"/>
      <c r="C39" s="78"/>
      <c r="D39" s="78"/>
      <c r="E39" s="78"/>
      <c r="F39" s="78"/>
      <c r="G39" s="78"/>
      <c r="H39" s="78"/>
      <c r="I39" s="78"/>
      <c r="J39" s="78"/>
      <c r="K39" s="25"/>
      <c r="L39" s="25"/>
      <c r="M39" s="25"/>
      <c r="N39" s="25"/>
      <c r="O39" s="25"/>
      <c r="P39" s="25"/>
      <c r="Q39" s="32"/>
      <c r="R39" s="32"/>
      <c r="S39" s="32"/>
      <c r="T39" s="32"/>
      <c r="U39" s="32"/>
      <c r="V39" s="32"/>
      <c r="W39" s="32"/>
      <c r="X39" s="32"/>
    </row>
    <row r="40" spans="1:24" x14ac:dyDescent="0.35">
      <c r="A40" s="78" t="s">
        <v>48</v>
      </c>
      <c r="B40" s="78"/>
      <c r="C40" s="78"/>
      <c r="D40" s="78"/>
      <c r="E40" s="78"/>
      <c r="F40" s="78"/>
      <c r="G40" s="78"/>
      <c r="H40" s="78"/>
      <c r="I40" s="78"/>
      <c r="J40" s="78"/>
      <c r="K40" s="25"/>
      <c r="L40" s="25"/>
      <c r="M40" s="25"/>
      <c r="N40" s="25"/>
      <c r="O40" s="25"/>
      <c r="P40" s="25"/>
      <c r="Q40" s="32"/>
      <c r="R40" s="32"/>
      <c r="S40" s="32"/>
      <c r="T40" s="32"/>
      <c r="U40" s="32"/>
      <c r="V40" s="32"/>
      <c r="W40" s="32"/>
      <c r="X40" s="32"/>
    </row>
    <row r="41" spans="1:24" x14ac:dyDescent="0.35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32"/>
      <c r="R41" s="32"/>
      <c r="S41" s="32"/>
      <c r="T41" s="32"/>
      <c r="U41" s="32"/>
      <c r="V41" s="32"/>
      <c r="W41" s="32"/>
      <c r="X41" s="32"/>
    </row>
    <row r="42" spans="1:24" x14ac:dyDescent="0.35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32"/>
      <c r="R42" s="32"/>
      <c r="S42" s="32"/>
      <c r="T42" s="32"/>
      <c r="U42" s="32"/>
      <c r="V42" s="32"/>
      <c r="W42" s="32"/>
      <c r="X42" s="32"/>
    </row>
    <row r="43" spans="1:24" x14ac:dyDescent="0.3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32"/>
      <c r="R43" s="32"/>
      <c r="S43" s="32"/>
      <c r="T43" s="32"/>
      <c r="U43" s="32"/>
      <c r="V43" s="32"/>
      <c r="W43" s="32"/>
      <c r="X43" s="32"/>
    </row>
    <row r="44" spans="1:24" x14ac:dyDescent="0.35">
      <c r="Q44" s="32"/>
      <c r="R44" s="32"/>
      <c r="S44" s="32"/>
      <c r="T44" s="32"/>
      <c r="U44" s="32"/>
      <c r="V44" s="32"/>
      <c r="W44" s="32"/>
      <c r="X44" s="32"/>
    </row>
  </sheetData>
  <mergeCells count="37">
    <mergeCell ref="L25:M25"/>
    <mergeCell ref="N25:N26"/>
    <mergeCell ref="O25:P25"/>
    <mergeCell ref="A39:J39"/>
    <mergeCell ref="A40:J40"/>
    <mergeCell ref="C25:D25"/>
    <mergeCell ref="E25:E26"/>
    <mergeCell ref="F25:G25"/>
    <mergeCell ref="H25:H26"/>
    <mergeCell ref="I25:J25"/>
    <mergeCell ref="K25:K26"/>
    <mergeCell ref="W8:X8"/>
    <mergeCell ref="Y8:Z8"/>
    <mergeCell ref="A21:J21"/>
    <mergeCell ref="A22:J22"/>
    <mergeCell ref="A24:A26"/>
    <mergeCell ref="B24:D24"/>
    <mergeCell ref="E24:J24"/>
    <mergeCell ref="K24:P24"/>
    <mergeCell ref="R24:T25"/>
    <mergeCell ref="B25:B26"/>
    <mergeCell ref="K8:K9"/>
    <mergeCell ref="L8:M8"/>
    <mergeCell ref="N8:Q8"/>
    <mergeCell ref="R8:S8"/>
    <mergeCell ref="T8:U8"/>
    <mergeCell ref="V8:V9"/>
    <mergeCell ref="E1:Z6"/>
    <mergeCell ref="A7:A9"/>
    <mergeCell ref="B7:J7"/>
    <mergeCell ref="K7:Q7"/>
    <mergeCell ref="V7:Z7"/>
    <mergeCell ref="B8:B9"/>
    <mergeCell ref="C8:D8"/>
    <mergeCell ref="E8:F8"/>
    <mergeCell ref="G8:H8"/>
    <mergeCell ref="I8:J8"/>
  </mergeCells>
  <conditionalFormatting sqref="B3">
    <cfRule type="iconSet" priority="1">
      <iconSet>
        <cfvo type="percent" val="0"/>
        <cfvo type="num" val="0.1333"/>
        <cfvo type="num" val="0.1583"/>
      </iconSet>
    </cfRule>
  </conditionalFormatting>
  <conditionalFormatting sqref="B4">
    <cfRule type="iconSet" priority="3">
      <iconSet>
        <cfvo type="percent" val="0"/>
        <cfvo type="num" val="0.1333"/>
        <cfvo type="num" val="0.1583"/>
      </iconSet>
    </cfRule>
  </conditionalFormatting>
  <conditionalFormatting sqref="C6 B3:B5">
    <cfRule type="iconSet" priority="2">
      <iconSet>
        <cfvo type="percent" val="0"/>
        <cfvo type="num" val="0.1333"/>
        <cfvo type="num" val="0.158"/>
      </iconSet>
    </cfRule>
  </conditionalFormatting>
  <conditionalFormatting sqref="C6 B5">
    <cfRule type="iconSet" priority="4">
      <iconSet>
        <cfvo type="percent" val="0"/>
        <cfvo type="num" val="0.1333"/>
        <cfvo type="num" val="0.1583"/>
      </iconSet>
    </cfRule>
  </conditionalFormatting>
  <conditionalFormatting sqref="D10:D18">
    <cfRule type="iconSet" priority="29">
      <iconSet>
        <cfvo type="percent" val="0"/>
        <cfvo type="num" val="0.33"/>
        <cfvo type="num" val="0.41499999999999998"/>
      </iconSet>
    </cfRule>
  </conditionalFormatting>
  <conditionalFormatting sqref="D27:D33">
    <cfRule type="iconSet" priority="18">
      <iconSet>
        <cfvo type="percent" val="0"/>
        <cfvo type="num" val="0.33"/>
        <cfvo type="num" val="0.41499999999999998"/>
      </iconSet>
    </cfRule>
  </conditionalFormatting>
  <conditionalFormatting sqref="D35:D36">
    <cfRule type="iconSet" priority="17">
      <iconSet>
        <cfvo type="percent" val="0"/>
        <cfvo type="num" val="0.33"/>
        <cfvo type="num" val="0.41499999999999998"/>
      </iconSet>
    </cfRule>
  </conditionalFormatting>
  <conditionalFormatting sqref="F10:F18">
    <cfRule type="iconSet" priority="28">
      <iconSet>
        <cfvo type="percent" val="0"/>
        <cfvo type="num" val="0.33"/>
        <cfvo type="num" val="0.41499999999999998"/>
      </iconSet>
    </cfRule>
  </conditionalFormatting>
  <conditionalFormatting sqref="G27:G33">
    <cfRule type="iconSet" priority="16">
      <iconSet>
        <cfvo type="percent" val="0"/>
        <cfvo type="num" val="0.33"/>
        <cfvo type="num" val="0.41499999999999998"/>
      </iconSet>
    </cfRule>
  </conditionalFormatting>
  <conditionalFormatting sqref="G35:G36">
    <cfRule type="iconSet" priority="12">
      <iconSet>
        <cfvo type="percent" val="0"/>
        <cfvo type="num" val="0.33"/>
        <cfvo type="num" val="0.41499999999999998"/>
      </iconSet>
    </cfRule>
  </conditionalFormatting>
  <conditionalFormatting sqref="H10:H18">
    <cfRule type="iconSet" priority="27">
      <iconSet>
        <cfvo type="percent" val="0"/>
        <cfvo type="num" val="0.33"/>
        <cfvo type="num" val="0.41499999999999998"/>
      </iconSet>
    </cfRule>
  </conditionalFormatting>
  <conditionalFormatting sqref="J10:J18">
    <cfRule type="iconSet" priority="26">
      <iconSet>
        <cfvo type="percent" val="0"/>
        <cfvo type="num" val="0.33"/>
        <cfvo type="num" val="0.41499999999999998"/>
      </iconSet>
    </cfRule>
  </conditionalFormatting>
  <conditionalFormatting sqref="J27:J33">
    <cfRule type="iconSet" priority="15">
      <iconSet>
        <cfvo type="percent" val="0"/>
        <cfvo type="num" val="0.33"/>
        <cfvo type="num" val="0.41499999999999998"/>
      </iconSet>
    </cfRule>
  </conditionalFormatting>
  <conditionalFormatting sqref="J35:J36">
    <cfRule type="iconSet" priority="11">
      <iconSet>
        <cfvo type="percent" val="0"/>
        <cfvo type="num" val="0.33"/>
        <cfvo type="num" val="0.41499999999999998"/>
      </iconSet>
    </cfRule>
  </conditionalFormatting>
  <conditionalFormatting sqref="M10:M18">
    <cfRule type="iconSet" priority="25">
      <iconSet>
        <cfvo type="percent" val="0"/>
        <cfvo type="num" val="0.33"/>
        <cfvo type="num" val="0.41499999999999998"/>
      </iconSet>
    </cfRule>
  </conditionalFormatting>
  <conditionalFormatting sqref="M27:M33">
    <cfRule type="iconSet" priority="14">
      <iconSet>
        <cfvo type="percent" val="0"/>
        <cfvo type="num" val="0.33"/>
        <cfvo type="num" val="0.41499999999999998"/>
      </iconSet>
    </cfRule>
  </conditionalFormatting>
  <conditionalFormatting sqref="M35:M36">
    <cfRule type="iconSet" priority="10">
      <iconSet>
        <cfvo type="percent" val="0"/>
        <cfvo type="num" val="0.33"/>
        <cfvo type="num" val="0.41499999999999998"/>
      </iconSet>
    </cfRule>
  </conditionalFormatting>
  <conditionalFormatting sqref="O10:O18">
    <cfRule type="iconSet" priority="24">
      <iconSet>
        <cfvo type="percent" val="0"/>
        <cfvo type="num" val="0.33"/>
        <cfvo type="num" val="0.41499999999999998"/>
      </iconSet>
    </cfRule>
  </conditionalFormatting>
  <conditionalFormatting sqref="P27:P33">
    <cfRule type="iconSet" priority="13">
      <iconSet>
        <cfvo type="percent" val="0"/>
        <cfvo type="num" val="0.33"/>
        <cfvo type="num" val="0.41499999999999998"/>
      </iconSet>
    </cfRule>
  </conditionalFormatting>
  <conditionalFormatting sqref="P35:P36">
    <cfRule type="iconSet" priority="9">
      <iconSet>
        <cfvo type="percent" val="0"/>
        <cfvo type="num" val="0.33"/>
        <cfvo type="num" val="0.41499999999999998"/>
      </iconSet>
    </cfRule>
  </conditionalFormatting>
  <conditionalFormatting sqref="Q10:Q18">
    <cfRule type="iconSet" priority="23">
      <iconSet>
        <cfvo type="percent" val="0"/>
        <cfvo type="num" val="0.33"/>
        <cfvo type="num" val="0.41499999999999998"/>
      </iconSet>
    </cfRule>
  </conditionalFormatting>
  <conditionalFormatting sqref="S10:S18">
    <cfRule type="iconSet" priority="22">
      <iconSet>
        <cfvo type="percent" val="0"/>
        <cfvo type="num" val="0.33"/>
        <cfvo type="num" val="0.41499999999999998"/>
      </iconSet>
    </cfRule>
  </conditionalFormatting>
  <conditionalFormatting sqref="S27">
    <cfRule type="iconSet" priority="5">
      <iconSet>
        <cfvo type="percent" val="0"/>
        <cfvo type="num" val="0.1333"/>
        <cfvo type="num" val="0.1583"/>
      </iconSet>
    </cfRule>
  </conditionalFormatting>
  <conditionalFormatting sqref="S27:S29">
    <cfRule type="iconSet" priority="6">
      <iconSet>
        <cfvo type="percent" val="0"/>
        <cfvo type="num" val="0.1333"/>
        <cfvo type="num" val="0.158"/>
      </iconSet>
    </cfRule>
  </conditionalFormatting>
  <conditionalFormatting sqref="S28">
    <cfRule type="iconSet" priority="7">
      <iconSet>
        <cfvo type="percent" val="0"/>
        <cfvo type="num" val="0.1333"/>
        <cfvo type="num" val="0.1583"/>
      </iconSet>
    </cfRule>
  </conditionalFormatting>
  <conditionalFormatting sqref="S29">
    <cfRule type="iconSet" priority="8">
      <iconSet>
        <cfvo type="percent" val="0"/>
        <cfvo type="num" val="0.1333"/>
        <cfvo type="num" val="0.1583"/>
      </iconSet>
    </cfRule>
  </conditionalFormatting>
  <conditionalFormatting sqref="U10:U18">
    <cfRule type="iconSet" priority="21">
      <iconSet>
        <cfvo type="percent" val="0"/>
        <cfvo type="num" val="0.33"/>
        <cfvo type="num" val="0.41499999999999998"/>
      </iconSet>
    </cfRule>
  </conditionalFormatting>
  <conditionalFormatting sqref="X10:X18">
    <cfRule type="iconSet" priority="20">
      <iconSet>
        <cfvo type="percent" val="0"/>
        <cfvo type="num" val="0.33"/>
        <cfvo type="num" val="0.41499999999999998"/>
      </iconSet>
    </cfRule>
  </conditionalFormatting>
  <conditionalFormatting sqref="Z10:Z18">
    <cfRule type="iconSet" priority="19">
      <iconSet>
        <cfvo type="percent" val="0"/>
        <cfvo type="num" val="0.33"/>
        <cfvo type="num" val="0.41499999999999998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43E0-8C1F-4050-83AD-171B1ADC3FA7}">
  <dimension ref="A1:Z44"/>
  <sheetViews>
    <sheetView topLeftCell="A15" zoomScale="90" zoomScaleNormal="90" workbookViewId="0">
      <selection activeCell="G10" sqref="G10"/>
    </sheetView>
  </sheetViews>
  <sheetFormatPr baseColWidth="10" defaultRowHeight="14.5" x14ac:dyDescent="0.35"/>
  <cols>
    <col min="1" max="1" width="16.6328125" customWidth="1"/>
    <col min="2" max="2" width="6.1796875" style="31" customWidth="1"/>
    <col min="3" max="3" width="6.1796875" customWidth="1"/>
    <col min="4" max="4" width="7.08984375" customWidth="1"/>
    <col min="5" max="5" width="6.1796875" customWidth="1"/>
    <col min="6" max="6" width="6.7265625" customWidth="1"/>
    <col min="7" max="7" width="6.1796875" customWidth="1"/>
    <col min="8" max="8" width="7.1796875" customWidth="1"/>
    <col min="9" max="9" width="6.81640625" customWidth="1"/>
    <col min="10" max="10" width="7.08984375" customWidth="1"/>
    <col min="11" max="11" width="5.7265625" customWidth="1"/>
    <col min="12" max="12" width="6.81640625" customWidth="1"/>
    <col min="13" max="13" width="7.6328125" customWidth="1"/>
    <col min="14" max="14" width="6.36328125" customWidth="1"/>
    <col min="15" max="15" width="7.26953125" customWidth="1"/>
    <col min="16" max="16" width="6.54296875" customWidth="1"/>
    <col min="17" max="17" width="8.90625" customWidth="1"/>
    <col min="18" max="18" width="7.81640625" customWidth="1"/>
    <col min="19" max="19" width="6.54296875" customWidth="1"/>
    <col min="20" max="20" width="6.08984375" customWidth="1"/>
    <col min="21" max="21" width="7.26953125" customWidth="1"/>
    <col min="22" max="22" width="5.90625" customWidth="1"/>
    <col min="23" max="23" width="6.81640625" customWidth="1"/>
    <col min="24" max="24" width="6.6328125" customWidth="1"/>
    <col min="25" max="25" width="6.08984375" customWidth="1"/>
    <col min="26" max="26" width="7.36328125" customWidth="1"/>
  </cols>
  <sheetData>
    <row r="1" spans="1:26" s="32" customFormat="1" ht="22" customHeight="1" x14ac:dyDescent="0.35">
      <c r="A1" s="45" t="s">
        <v>43</v>
      </c>
      <c r="B1" s="46"/>
      <c r="C1" s="45"/>
      <c r="D1" s="45"/>
      <c r="E1" s="94" t="s">
        <v>37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s="32" customFormat="1" ht="5.5" customHeight="1" x14ac:dyDescent="0.35">
      <c r="A2" s="45"/>
      <c r="B2" s="46"/>
      <c r="C2" s="45"/>
      <c r="D2" s="45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14.5" customHeight="1" x14ac:dyDescent="0.35">
      <c r="A3" s="38"/>
      <c r="B3" s="39" t="s">
        <v>40</v>
      </c>
      <c r="D3" s="32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14.5" customHeight="1" x14ac:dyDescent="0.4">
      <c r="A4" s="40"/>
      <c r="B4" s="41" t="s">
        <v>41</v>
      </c>
      <c r="C4" s="32"/>
      <c r="D4" s="32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14.5" customHeight="1" x14ac:dyDescent="0.4">
      <c r="A5" s="42"/>
      <c r="B5" s="41" t="s">
        <v>42</v>
      </c>
      <c r="D5" s="32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s="32" customFormat="1" ht="9" customHeight="1" x14ac:dyDescent="0.4">
      <c r="A6" s="43"/>
      <c r="B6" s="44"/>
      <c r="C6" s="41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4.5" customHeight="1" x14ac:dyDescent="0.35">
      <c r="A7" s="86" t="s">
        <v>36</v>
      </c>
      <c r="B7" s="97" t="s">
        <v>0</v>
      </c>
      <c r="C7" s="98"/>
      <c r="D7" s="98"/>
      <c r="E7" s="98"/>
      <c r="F7" s="98"/>
      <c r="G7" s="98"/>
      <c r="H7" s="98"/>
      <c r="I7" s="98"/>
      <c r="J7" s="99"/>
      <c r="K7" s="59" t="s">
        <v>1</v>
      </c>
      <c r="L7" s="73"/>
      <c r="M7" s="73"/>
      <c r="N7" s="73"/>
      <c r="O7" s="73"/>
      <c r="P7" s="73"/>
      <c r="Q7" s="73"/>
      <c r="R7" s="51"/>
      <c r="S7" s="51"/>
      <c r="T7" s="51"/>
      <c r="U7" s="52"/>
      <c r="V7" s="70" t="s">
        <v>2</v>
      </c>
      <c r="W7" s="72"/>
      <c r="X7" s="72"/>
      <c r="Y7" s="72"/>
      <c r="Z7" s="71"/>
    </row>
    <row r="8" spans="1:26" x14ac:dyDescent="0.35">
      <c r="A8" s="87"/>
      <c r="B8" s="100" t="s">
        <v>22</v>
      </c>
      <c r="C8" s="97" t="s">
        <v>7</v>
      </c>
      <c r="D8" s="99"/>
      <c r="E8" s="97" t="s">
        <v>8</v>
      </c>
      <c r="F8" s="99"/>
      <c r="G8" s="97" t="s">
        <v>9</v>
      </c>
      <c r="H8" s="99"/>
      <c r="I8" s="97" t="s">
        <v>10</v>
      </c>
      <c r="J8" s="99"/>
      <c r="K8" s="91" t="s">
        <v>22</v>
      </c>
      <c r="L8" s="59" t="s">
        <v>11</v>
      </c>
      <c r="M8" s="60"/>
      <c r="N8" s="59" t="s">
        <v>12</v>
      </c>
      <c r="O8" s="73"/>
      <c r="P8" s="73"/>
      <c r="Q8" s="60"/>
      <c r="R8" s="59" t="s">
        <v>13</v>
      </c>
      <c r="S8" s="60"/>
      <c r="T8" s="59" t="s">
        <v>7</v>
      </c>
      <c r="U8" s="60"/>
      <c r="V8" s="81" t="s">
        <v>22</v>
      </c>
      <c r="W8" s="70" t="s">
        <v>13</v>
      </c>
      <c r="X8" s="71"/>
      <c r="Y8" s="70" t="s">
        <v>14</v>
      </c>
      <c r="Z8" s="71"/>
    </row>
    <row r="9" spans="1:26" ht="27.5" customHeight="1" x14ac:dyDescent="0.35">
      <c r="A9" s="88"/>
      <c r="B9" s="101"/>
      <c r="C9" s="56" t="s">
        <v>16</v>
      </c>
      <c r="D9" s="56" t="s">
        <v>33</v>
      </c>
      <c r="E9" s="56" t="s">
        <v>17</v>
      </c>
      <c r="F9" s="56" t="s">
        <v>33</v>
      </c>
      <c r="G9" s="56" t="s">
        <v>16</v>
      </c>
      <c r="H9" s="56" t="s">
        <v>33</v>
      </c>
      <c r="I9" s="56" t="s">
        <v>17</v>
      </c>
      <c r="J9" s="56" t="s">
        <v>33</v>
      </c>
      <c r="K9" s="92"/>
      <c r="L9" s="1" t="s">
        <v>16</v>
      </c>
      <c r="M9" s="1" t="s">
        <v>33</v>
      </c>
      <c r="N9" s="1" t="s">
        <v>18</v>
      </c>
      <c r="O9" s="1" t="s">
        <v>33</v>
      </c>
      <c r="P9" s="1" t="s">
        <v>17</v>
      </c>
      <c r="Q9" s="1" t="s">
        <v>33</v>
      </c>
      <c r="R9" s="1" t="s">
        <v>20</v>
      </c>
      <c r="S9" s="1" t="s">
        <v>33</v>
      </c>
      <c r="T9" s="1" t="s">
        <v>20</v>
      </c>
      <c r="U9" s="1" t="s">
        <v>33</v>
      </c>
      <c r="V9" s="82"/>
      <c r="W9" s="3" t="s">
        <v>21</v>
      </c>
      <c r="X9" s="3" t="s">
        <v>33</v>
      </c>
      <c r="Y9" s="3" t="s">
        <v>21</v>
      </c>
      <c r="Z9" s="3" t="s">
        <v>33</v>
      </c>
    </row>
    <row r="10" spans="1:26" x14ac:dyDescent="0.35">
      <c r="A10" s="7" t="s">
        <v>23</v>
      </c>
      <c r="B10" s="9">
        <v>442</v>
      </c>
      <c r="C10" s="26">
        <v>121</v>
      </c>
      <c r="D10" s="37">
        <f>C10/B10</f>
        <v>0.27375565610859731</v>
      </c>
      <c r="E10" s="26">
        <v>125</v>
      </c>
      <c r="F10" s="37">
        <f>E10/B10</f>
        <v>0.28280542986425339</v>
      </c>
      <c r="G10" s="26">
        <v>121</v>
      </c>
      <c r="H10" s="37">
        <f>G10/B10</f>
        <v>0.27375565610859731</v>
      </c>
      <c r="I10" s="26">
        <v>127</v>
      </c>
      <c r="J10" s="37">
        <f>I10/B10</f>
        <v>0.28733031674208143</v>
      </c>
      <c r="K10" s="26">
        <v>595</v>
      </c>
      <c r="L10" s="53">
        <v>151</v>
      </c>
      <c r="M10" s="54">
        <f>L10/K10</f>
        <v>0.253781512605042</v>
      </c>
      <c r="N10" s="53">
        <v>151</v>
      </c>
      <c r="O10" s="54">
        <f>N10/K10</f>
        <v>0.253781512605042</v>
      </c>
      <c r="P10" s="53">
        <v>151</v>
      </c>
      <c r="Q10" s="54">
        <f>P10/K10</f>
        <v>0.253781512605042</v>
      </c>
      <c r="R10" s="26">
        <v>112</v>
      </c>
      <c r="S10" s="37">
        <f t="shared" ref="S10:S18" si="0">R10/K10</f>
        <v>0.18823529411764706</v>
      </c>
      <c r="T10" s="53">
        <v>160</v>
      </c>
      <c r="U10" s="54">
        <f>T10/K10</f>
        <v>0.26890756302521007</v>
      </c>
      <c r="V10" s="26">
        <v>734</v>
      </c>
      <c r="W10" s="26">
        <v>207</v>
      </c>
      <c r="X10" s="37">
        <f>W10/V10</f>
        <v>0.28201634877384196</v>
      </c>
      <c r="Y10" s="53">
        <v>200</v>
      </c>
      <c r="Z10" s="54">
        <f>Y10/V10</f>
        <v>0.27247956403269757</v>
      </c>
    </row>
    <row r="11" spans="1:26" x14ac:dyDescent="0.35">
      <c r="A11" s="7" t="s">
        <v>24</v>
      </c>
      <c r="B11" s="9">
        <v>635</v>
      </c>
      <c r="C11" s="27">
        <v>195</v>
      </c>
      <c r="D11" s="37">
        <f t="shared" ref="D11:D18" si="1">C11/B11</f>
        <v>0.30708661417322836</v>
      </c>
      <c r="E11" s="27">
        <v>191</v>
      </c>
      <c r="F11" s="37">
        <f t="shared" ref="F11:F18" si="2">E11/B11</f>
        <v>0.30078740157480316</v>
      </c>
      <c r="G11" s="27">
        <v>194</v>
      </c>
      <c r="H11" s="37">
        <f t="shared" ref="H11:H18" si="3">G11/B11</f>
        <v>0.30551181102362207</v>
      </c>
      <c r="I11" s="27">
        <v>189</v>
      </c>
      <c r="J11" s="37">
        <f t="shared" ref="J11:J18" si="4">I11/B11</f>
        <v>0.29763779527559053</v>
      </c>
      <c r="K11" s="26">
        <v>711</v>
      </c>
      <c r="L11" s="27">
        <v>208</v>
      </c>
      <c r="M11" s="37">
        <f t="shared" ref="M11:M18" si="5">L11/K11</f>
        <v>0.29254571026722925</v>
      </c>
      <c r="N11" s="27">
        <v>215</v>
      </c>
      <c r="O11" s="37">
        <f t="shared" ref="O11:O18" si="6">N11/K11</f>
        <v>0.30239099859353025</v>
      </c>
      <c r="P11" s="26">
        <v>169</v>
      </c>
      <c r="Q11" s="37">
        <f t="shared" ref="Q11:Q18" si="7">P11/K11</f>
        <v>0.23769338959212377</v>
      </c>
      <c r="R11" s="53">
        <v>131</v>
      </c>
      <c r="S11" s="54">
        <f t="shared" si="0"/>
        <v>0.18424753867791843</v>
      </c>
      <c r="T11" s="26">
        <v>193</v>
      </c>
      <c r="U11" s="37">
        <f t="shared" ref="U11:U18" si="8">T11/K11</f>
        <v>0.27144866385372712</v>
      </c>
      <c r="V11" s="26">
        <v>806</v>
      </c>
      <c r="W11" s="26">
        <v>231</v>
      </c>
      <c r="X11" s="37">
        <f t="shared" ref="X11:X18" si="9">W11/V11</f>
        <v>0.28660049627791562</v>
      </c>
      <c r="Y11" s="26">
        <v>225</v>
      </c>
      <c r="Z11" s="37">
        <f t="shared" ref="Z11:Z18" si="10">Y11/V11</f>
        <v>0.27915632754342434</v>
      </c>
    </row>
    <row r="12" spans="1:26" x14ac:dyDescent="0.35">
      <c r="A12" s="7" t="s">
        <v>25</v>
      </c>
      <c r="B12" s="9">
        <v>130</v>
      </c>
      <c r="C12" s="53">
        <v>38</v>
      </c>
      <c r="D12" s="54">
        <f t="shared" si="1"/>
        <v>0.29230769230769232</v>
      </c>
      <c r="E12" s="53">
        <v>34</v>
      </c>
      <c r="F12" s="54">
        <f t="shared" si="2"/>
        <v>0.26153846153846155</v>
      </c>
      <c r="G12" s="53">
        <v>38</v>
      </c>
      <c r="H12" s="54">
        <f t="shared" si="3"/>
        <v>0.29230769230769232</v>
      </c>
      <c r="I12" s="53">
        <v>35</v>
      </c>
      <c r="J12" s="54">
        <f t="shared" si="4"/>
        <v>0.26923076923076922</v>
      </c>
      <c r="K12" s="26">
        <v>161</v>
      </c>
      <c r="L12" s="53">
        <v>48</v>
      </c>
      <c r="M12" s="54">
        <f t="shared" si="5"/>
        <v>0.29813664596273293</v>
      </c>
      <c r="N12" s="53">
        <v>49</v>
      </c>
      <c r="O12" s="54">
        <f t="shared" si="6"/>
        <v>0.30434782608695654</v>
      </c>
      <c r="P12" s="53">
        <v>45</v>
      </c>
      <c r="Q12" s="54">
        <f t="shared" si="7"/>
        <v>0.27950310559006208</v>
      </c>
      <c r="R12" s="53">
        <v>29</v>
      </c>
      <c r="S12" s="54">
        <f t="shared" si="0"/>
        <v>0.18012422360248448</v>
      </c>
      <c r="T12" s="53">
        <v>46</v>
      </c>
      <c r="U12" s="54">
        <f t="shared" si="8"/>
        <v>0.2857142857142857</v>
      </c>
      <c r="V12" s="26">
        <v>221</v>
      </c>
      <c r="W12" s="53">
        <v>72</v>
      </c>
      <c r="X12" s="54">
        <f t="shared" si="9"/>
        <v>0.32579185520361992</v>
      </c>
      <c r="Y12" s="53">
        <v>71</v>
      </c>
      <c r="Z12" s="54">
        <f t="shared" si="10"/>
        <v>0.32126696832579188</v>
      </c>
    </row>
    <row r="13" spans="1:26" x14ac:dyDescent="0.35">
      <c r="A13" s="7" t="s">
        <v>26</v>
      </c>
      <c r="B13" s="9">
        <v>402</v>
      </c>
      <c r="C13" s="27">
        <v>147</v>
      </c>
      <c r="D13" s="37">
        <f t="shared" si="1"/>
        <v>0.36567164179104478</v>
      </c>
      <c r="E13" s="27">
        <v>131</v>
      </c>
      <c r="F13" s="37">
        <f t="shared" si="2"/>
        <v>0.32587064676616917</v>
      </c>
      <c r="G13" s="27">
        <v>148</v>
      </c>
      <c r="H13" s="37">
        <f t="shared" si="3"/>
        <v>0.36815920398009949</v>
      </c>
      <c r="I13" s="27">
        <v>131</v>
      </c>
      <c r="J13" s="37">
        <f t="shared" si="4"/>
        <v>0.32587064676616917</v>
      </c>
      <c r="K13" s="26">
        <v>489</v>
      </c>
      <c r="L13" s="27">
        <v>151</v>
      </c>
      <c r="M13" s="37">
        <f t="shared" si="5"/>
        <v>0.30879345603271985</v>
      </c>
      <c r="N13" s="27">
        <v>157</v>
      </c>
      <c r="O13" s="37">
        <f t="shared" si="6"/>
        <v>0.32106339468302658</v>
      </c>
      <c r="P13" s="26">
        <v>127</v>
      </c>
      <c r="Q13" s="37">
        <f t="shared" si="7"/>
        <v>0.25971370143149286</v>
      </c>
      <c r="R13" s="26">
        <v>100</v>
      </c>
      <c r="S13" s="37">
        <f t="shared" si="0"/>
        <v>0.20449897750511248</v>
      </c>
      <c r="T13" s="26">
        <v>123</v>
      </c>
      <c r="U13" s="37">
        <f t="shared" si="8"/>
        <v>0.25153374233128833</v>
      </c>
      <c r="V13" s="26">
        <v>676</v>
      </c>
      <c r="W13" s="26">
        <v>178</v>
      </c>
      <c r="X13" s="37">
        <f t="shared" si="9"/>
        <v>0.26331360946745563</v>
      </c>
      <c r="Y13" s="26">
        <v>180</v>
      </c>
      <c r="Z13" s="37">
        <f t="shared" si="10"/>
        <v>0.26627218934911245</v>
      </c>
    </row>
    <row r="14" spans="1:26" x14ac:dyDescent="0.35">
      <c r="A14" s="7" t="s">
        <v>28</v>
      </c>
      <c r="B14" s="9">
        <v>132</v>
      </c>
      <c r="C14" s="53">
        <v>64</v>
      </c>
      <c r="D14" s="54">
        <f t="shared" si="1"/>
        <v>0.48484848484848486</v>
      </c>
      <c r="E14" s="53">
        <v>57</v>
      </c>
      <c r="F14" s="54">
        <f t="shared" si="2"/>
        <v>0.43181818181818182</v>
      </c>
      <c r="G14" s="53">
        <v>64</v>
      </c>
      <c r="H14" s="54">
        <f t="shared" si="3"/>
        <v>0.48484848484848486</v>
      </c>
      <c r="I14" s="53">
        <v>57</v>
      </c>
      <c r="J14" s="54">
        <f t="shared" si="4"/>
        <v>0.43181818181818182</v>
      </c>
      <c r="K14" s="26">
        <v>167</v>
      </c>
      <c r="L14" s="27">
        <v>48</v>
      </c>
      <c r="M14" s="37">
        <f t="shared" si="5"/>
        <v>0.28742514970059879</v>
      </c>
      <c r="N14" s="27">
        <v>48</v>
      </c>
      <c r="O14" s="37">
        <f t="shared" si="6"/>
        <v>0.28742514970059879</v>
      </c>
      <c r="P14" s="26">
        <v>35</v>
      </c>
      <c r="Q14" s="37">
        <f t="shared" si="7"/>
        <v>0.20958083832335328</v>
      </c>
      <c r="R14" s="53">
        <v>18</v>
      </c>
      <c r="S14" s="54">
        <f t="shared" si="0"/>
        <v>0.10778443113772455</v>
      </c>
      <c r="T14" s="26">
        <v>38</v>
      </c>
      <c r="U14" s="37">
        <f t="shared" si="8"/>
        <v>0.22754491017964071</v>
      </c>
      <c r="V14" s="26">
        <v>255</v>
      </c>
      <c r="W14" s="26">
        <v>89</v>
      </c>
      <c r="X14" s="37">
        <f t="shared" si="9"/>
        <v>0.34901960784313724</v>
      </c>
      <c r="Y14" s="26">
        <v>88</v>
      </c>
      <c r="Z14" s="37">
        <f t="shared" si="10"/>
        <v>0.34509803921568627</v>
      </c>
    </row>
    <row r="15" spans="1:26" x14ac:dyDescent="0.35">
      <c r="A15" s="7" t="s">
        <v>29</v>
      </c>
      <c r="B15" s="9">
        <v>945</v>
      </c>
      <c r="C15" s="27">
        <v>321</v>
      </c>
      <c r="D15" s="37">
        <f t="shared" si="1"/>
        <v>0.3396825396825397</v>
      </c>
      <c r="E15" s="27">
        <v>329</v>
      </c>
      <c r="F15" s="37">
        <f t="shared" si="2"/>
        <v>0.34814814814814815</v>
      </c>
      <c r="G15" s="27">
        <v>322</v>
      </c>
      <c r="H15" s="37">
        <f t="shared" si="3"/>
        <v>0.34074074074074073</v>
      </c>
      <c r="I15" s="27">
        <v>335</v>
      </c>
      <c r="J15" s="37">
        <f t="shared" si="4"/>
        <v>0.35449735449735448</v>
      </c>
      <c r="K15" s="26">
        <v>1174</v>
      </c>
      <c r="L15" s="27">
        <v>362</v>
      </c>
      <c r="M15" s="37">
        <f t="shared" si="5"/>
        <v>0.30834752981260649</v>
      </c>
      <c r="N15" s="27">
        <v>366</v>
      </c>
      <c r="O15" s="37">
        <f t="shared" si="6"/>
        <v>0.31175468483816016</v>
      </c>
      <c r="P15" s="26">
        <v>315</v>
      </c>
      <c r="Q15" s="37">
        <f t="shared" si="7"/>
        <v>0.26831345826235092</v>
      </c>
      <c r="R15" s="26">
        <v>191</v>
      </c>
      <c r="S15" s="37">
        <f t="shared" si="0"/>
        <v>0.16269165247018738</v>
      </c>
      <c r="T15" s="26">
        <v>332</v>
      </c>
      <c r="U15" s="37">
        <f t="shared" si="8"/>
        <v>0.282793867120954</v>
      </c>
      <c r="V15" s="26">
        <v>1562</v>
      </c>
      <c r="W15" s="26">
        <v>521</v>
      </c>
      <c r="X15" s="37">
        <f t="shared" si="9"/>
        <v>0.33354673495518566</v>
      </c>
      <c r="Y15" s="26">
        <v>507</v>
      </c>
      <c r="Z15" s="37">
        <f t="shared" si="10"/>
        <v>0.32458386683738799</v>
      </c>
    </row>
    <row r="16" spans="1:26" x14ac:dyDescent="0.35">
      <c r="A16" s="7" t="s">
        <v>34</v>
      </c>
      <c r="B16" s="9">
        <v>321</v>
      </c>
      <c r="C16" s="53">
        <v>54</v>
      </c>
      <c r="D16" s="54">
        <f t="shared" si="1"/>
        <v>0.16822429906542055</v>
      </c>
      <c r="E16" s="53">
        <v>62</v>
      </c>
      <c r="F16" s="54">
        <f t="shared" si="2"/>
        <v>0.19314641744548286</v>
      </c>
      <c r="G16" s="53">
        <v>55</v>
      </c>
      <c r="H16" s="54">
        <f t="shared" si="3"/>
        <v>0.17133956386292834</v>
      </c>
      <c r="I16" s="53">
        <v>62</v>
      </c>
      <c r="J16" s="54">
        <f t="shared" si="4"/>
        <v>0.19314641744548286</v>
      </c>
      <c r="K16" s="26">
        <v>327</v>
      </c>
      <c r="L16" s="53">
        <v>65</v>
      </c>
      <c r="M16" s="54">
        <f t="shared" si="5"/>
        <v>0.19877675840978593</v>
      </c>
      <c r="N16" s="53">
        <v>66</v>
      </c>
      <c r="O16" s="54">
        <f t="shared" si="6"/>
        <v>0.20183486238532111</v>
      </c>
      <c r="P16" s="53">
        <v>34</v>
      </c>
      <c r="Q16" s="54">
        <f t="shared" si="7"/>
        <v>0.10397553516819572</v>
      </c>
      <c r="R16" s="53">
        <v>32</v>
      </c>
      <c r="S16" s="54">
        <f t="shared" si="0"/>
        <v>9.7859327217125383E-2</v>
      </c>
      <c r="T16" s="53">
        <v>47</v>
      </c>
      <c r="U16" s="54">
        <f t="shared" si="8"/>
        <v>0.14373088685015289</v>
      </c>
      <c r="V16" s="26">
        <v>436</v>
      </c>
      <c r="W16" s="53">
        <v>53</v>
      </c>
      <c r="X16" s="54">
        <f t="shared" si="9"/>
        <v>0.12155963302752294</v>
      </c>
      <c r="Y16" s="53">
        <v>55</v>
      </c>
      <c r="Z16" s="54">
        <f t="shared" si="10"/>
        <v>0.12614678899082568</v>
      </c>
    </row>
    <row r="17" spans="1:26" x14ac:dyDescent="0.35">
      <c r="A17" s="13" t="s">
        <v>27</v>
      </c>
      <c r="B17" s="29">
        <v>1222</v>
      </c>
      <c r="C17" s="27">
        <f>SUM(C19:C20)</f>
        <v>388</v>
      </c>
      <c r="D17" s="37">
        <f t="shared" si="1"/>
        <v>0.31751227495908346</v>
      </c>
      <c r="E17" s="27">
        <f>SUM(E19:E20)</f>
        <v>399</v>
      </c>
      <c r="F17" s="37">
        <f t="shared" si="2"/>
        <v>0.32651391162029458</v>
      </c>
      <c r="G17" s="27">
        <f>SUM(G19:G20)</f>
        <v>386</v>
      </c>
      <c r="H17" s="37">
        <f t="shared" si="3"/>
        <v>0.3158756137479542</v>
      </c>
      <c r="I17" s="27">
        <f>SUM(I19:I20)</f>
        <v>407</v>
      </c>
      <c r="J17" s="37">
        <f t="shared" si="4"/>
        <v>0.33306055646481181</v>
      </c>
      <c r="K17" s="27">
        <v>1482</v>
      </c>
      <c r="L17" s="27">
        <f>SUM(L19:L20)</f>
        <v>471</v>
      </c>
      <c r="M17" s="37">
        <f t="shared" si="5"/>
        <v>0.31781376518218624</v>
      </c>
      <c r="N17" s="27">
        <f>SUM(N19:N20)</f>
        <v>482</v>
      </c>
      <c r="O17" s="37">
        <f t="shared" si="6"/>
        <v>0.32523616734143052</v>
      </c>
      <c r="P17" s="27">
        <f>SUM(P19:P20)</f>
        <v>384</v>
      </c>
      <c r="Q17" s="37">
        <f t="shared" si="7"/>
        <v>0.25910931174089069</v>
      </c>
      <c r="R17" s="27">
        <f>SUM(R19:R20)</f>
        <v>270</v>
      </c>
      <c r="S17" s="37">
        <f t="shared" si="0"/>
        <v>0.18218623481781376</v>
      </c>
      <c r="T17" s="27">
        <f>SUM(T19:T20)</f>
        <v>440</v>
      </c>
      <c r="U17" s="37">
        <f t="shared" si="8"/>
        <v>0.29689608636977061</v>
      </c>
      <c r="V17" s="27">
        <v>2023</v>
      </c>
      <c r="W17" s="27">
        <f>SUM(W19:W20)</f>
        <v>625</v>
      </c>
      <c r="X17" s="37">
        <f t="shared" si="9"/>
        <v>0.30894710825506672</v>
      </c>
      <c r="Y17" s="27">
        <f>SUM(Y19:Y20)</f>
        <v>624</v>
      </c>
      <c r="Z17" s="37">
        <f t="shared" si="10"/>
        <v>0.30845279288185862</v>
      </c>
    </row>
    <row r="18" spans="1:26" ht="15.5" customHeight="1" x14ac:dyDescent="0.35">
      <c r="A18" s="8" t="s">
        <v>30</v>
      </c>
      <c r="B18" s="30">
        <f>SUM(B10:B17)</f>
        <v>4229</v>
      </c>
      <c r="C18" s="28">
        <f>SUM(C10:C17)</f>
        <v>1328</v>
      </c>
      <c r="D18" s="37">
        <f t="shared" si="1"/>
        <v>0.31402222747694492</v>
      </c>
      <c r="E18" s="28">
        <f>SUM(E10:E17)</f>
        <v>1328</v>
      </c>
      <c r="F18" s="37">
        <f t="shared" si="2"/>
        <v>0.31402222747694492</v>
      </c>
      <c r="G18" s="28">
        <f>SUM(G10:G17)</f>
        <v>1328</v>
      </c>
      <c r="H18" s="37">
        <f t="shared" si="3"/>
        <v>0.31402222747694492</v>
      </c>
      <c r="I18" s="28">
        <f>SUM(I10:I17)</f>
        <v>1343</v>
      </c>
      <c r="J18" s="37">
        <f t="shared" si="4"/>
        <v>0.31756916528730195</v>
      </c>
      <c r="K18" s="28">
        <f>SUM(K10:K17)</f>
        <v>5106</v>
      </c>
      <c r="L18" s="28">
        <f>SUM(L10:L17)</f>
        <v>1504</v>
      </c>
      <c r="M18" s="37">
        <f t="shared" si="5"/>
        <v>0.29455542499020759</v>
      </c>
      <c r="N18" s="28">
        <f>SUM(N10:N17)</f>
        <v>1534</v>
      </c>
      <c r="O18" s="37">
        <f t="shared" si="6"/>
        <v>0.30043086564825694</v>
      </c>
      <c r="P18" s="28">
        <f>SUM(P10:P17)</f>
        <v>1260</v>
      </c>
      <c r="Q18" s="37">
        <f t="shared" si="7"/>
        <v>0.24676850763807284</v>
      </c>
      <c r="R18" s="28">
        <f>SUM(R10:R17)</f>
        <v>883</v>
      </c>
      <c r="S18" s="37">
        <f t="shared" si="0"/>
        <v>0.17293380336858596</v>
      </c>
      <c r="T18" s="28">
        <f>SUM(T10:T17)</f>
        <v>1379</v>
      </c>
      <c r="U18" s="37">
        <f t="shared" si="8"/>
        <v>0.27007442224833528</v>
      </c>
      <c r="V18" s="28">
        <f>SUM(V10:V17)</f>
        <v>6713</v>
      </c>
      <c r="W18" s="28">
        <f>SUM(W10:W17)</f>
        <v>1976</v>
      </c>
      <c r="X18" s="37">
        <f t="shared" si="9"/>
        <v>0.29435423804558319</v>
      </c>
      <c r="Y18" s="28">
        <f>SUM(Y10:Y17)</f>
        <v>1950</v>
      </c>
      <c r="Z18" s="37">
        <f t="shared" si="10"/>
        <v>0.29048115596603608</v>
      </c>
    </row>
    <row r="19" spans="1:26" ht="14.5" hidden="1" customHeight="1" x14ac:dyDescent="0.35">
      <c r="A19" s="20"/>
      <c r="B19" s="22"/>
      <c r="C19" s="23">
        <v>356</v>
      </c>
      <c r="D19" s="20"/>
      <c r="E19" s="20">
        <v>372</v>
      </c>
      <c r="F19" s="20"/>
      <c r="G19" s="50">
        <v>354</v>
      </c>
      <c r="H19" s="20"/>
      <c r="I19" s="15">
        <v>380</v>
      </c>
      <c r="J19" s="20"/>
      <c r="K19" s="20"/>
      <c r="L19" s="15">
        <v>431</v>
      </c>
      <c r="M19" s="20"/>
      <c r="N19" s="15">
        <v>442</v>
      </c>
      <c r="O19" s="20"/>
      <c r="P19" s="15">
        <v>361</v>
      </c>
      <c r="Q19" s="20"/>
      <c r="R19" s="15">
        <v>248</v>
      </c>
      <c r="S19" s="20"/>
      <c r="T19" s="15">
        <v>409</v>
      </c>
      <c r="U19" s="20"/>
      <c r="V19" s="20"/>
      <c r="W19" s="15">
        <v>569</v>
      </c>
      <c r="X19" s="20"/>
      <c r="Y19" s="15">
        <v>568</v>
      </c>
      <c r="Z19" s="20"/>
    </row>
    <row r="20" spans="1:26" ht="14.5" hidden="1" customHeight="1" x14ac:dyDescent="0.35">
      <c r="A20" s="20"/>
      <c r="B20" s="22"/>
      <c r="C20" s="48">
        <v>32</v>
      </c>
      <c r="D20" s="20"/>
      <c r="E20" s="48">
        <v>27</v>
      </c>
      <c r="F20" s="20"/>
      <c r="G20" s="48">
        <v>32</v>
      </c>
      <c r="H20" s="20"/>
      <c r="I20" s="48">
        <v>27</v>
      </c>
      <c r="J20" s="20"/>
      <c r="K20" s="20"/>
      <c r="L20" s="48">
        <v>40</v>
      </c>
      <c r="M20" s="20"/>
      <c r="N20" s="48">
        <v>40</v>
      </c>
      <c r="O20" s="20"/>
      <c r="P20" s="48">
        <v>23</v>
      </c>
      <c r="Q20" s="20"/>
      <c r="R20" s="48">
        <v>22</v>
      </c>
      <c r="S20" s="20"/>
      <c r="T20" s="48">
        <v>31</v>
      </c>
      <c r="U20" s="20"/>
      <c r="V20" s="20"/>
      <c r="W20" s="48">
        <v>56</v>
      </c>
      <c r="X20" s="20"/>
      <c r="Y20" s="48">
        <v>56</v>
      </c>
      <c r="Z20" s="20"/>
    </row>
    <row r="21" spans="1:26" x14ac:dyDescent="0.35">
      <c r="A21" s="78" t="s">
        <v>38</v>
      </c>
      <c r="B21" s="78"/>
      <c r="C21" s="78"/>
      <c r="D21" s="78"/>
      <c r="E21" s="78"/>
      <c r="F21" s="78"/>
      <c r="G21" s="78"/>
      <c r="H21" s="78"/>
      <c r="I21" s="78"/>
      <c r="J21" s="78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x14ac:dyDescent="0.35">
      <c r="A22" s="78" t="s">
        <v>48</v>
      </c>
      <c r="B22" s="78"/>
      <c r="C22" s="78"/>
      <c r="D22" s="78"/>
      <c r="E22" s="78"/>
      <c r="F22" s="78"/>
      <c r="G22" s="78"/>
      <c r="H22" s="78"/>
      <c r="I22" s="78"/>
      <c r="J22" s="78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s="32" customFormat="1" x14ac:dyDescent="0.35">
      <c r="B23" s="33"/>
    </row>
    <row r="24" spans="1:26" ht="14.5" customHeight="1" x14ac:dyDescent="0.35">
      <c r="A24" s="86" t="s">
        <v>36</v>
      </c>
      <c r="B24" s="68" t="s">
        <v>3</v>
      </c>
      <c r="C24" s="74"/>
      <c r="D24" s="69"/>
      <c r="E24" s="65" t="s">
        <v>4</v>
      </c>
      <c r="F24" s="66"/>
      <c r="G24" s="66"/>
      <c r="H24" s="66"/>
      <c r="I24" s="66"/>
      <c r="J24" s="67"/>
      <c r="K24" s="79" t="s">
        <v>5</v>
      </c>
      <c r="L24" s="85"/>
      <c r="M24" s="85"/>
      <c r="N24" s="85"/>
      <c r="O24" s="85"/>
      <c r="P24" s="80"/>
      <c r="Q24" s="32"/>
      <c r="R24" s="96" t="s">
        <v>43</v>
      </c>
      <c r="S24" s="96"/>
      <c r="T24" s="96"/>
      <c r="U24" s="32"/>
      <c r="V24" s="32"/>
      <c r="W24" s="32"/>
      <c r="X24" s="32"/>
    </row>
    <row r="25" spans="1:26" ht="14.5" customHeight="1" x14ac:dyDescent="0.35">
      <c r="A25" s="87"/>
      <c r="B25" s="75" t="s">
        <v>22</v>
      </c>
      <c r="C25" s="68" t="s">
        <v>6</v>
      </c>
      <c r="D25" s="69"/>
      <c r="E25" s="63" t="s">
        <v>22</v>
      </c>
      <c r="F25" s="65" t="s">
        <v>31</v>
      </c>
      <c r="G25" s="67"/>
      <c r="H25" s="63" t="s">
        <v>22</v>
      </c>
      <c r="I25" s="65" t="s">
        <v>32</v>
      </c>
      <c r="J25" s="67"/>
      <c r="K25" s="61" t="s">
        <v>22</v>
      </c>
      <c r="L25" s="79" t="s">
        <v>8</v>
      </c>
      <c r="M25" s="80"/>
      <c r="N25" s="83" t="s">
        <v>22</v>
      </c>
      <c r="O25" s="79" t="s">
        <v>15</v>
      </c>
      <c r="P25" s="80"/>
      <c r="Q25" s="32"/>
      <c r="R25" s="96"/>
      <c r="S25" s="96"/>
      <c r="T25" s="96"/>
      <c r="U25" s="32"/>
      <c r="V25" s="32"/>
      <c r="W25" s="32"/>
      <c r="X25" s="32"/>
    </row>
    <row r="26" spans="1:26" x14ac:dyDescent="0.35">
      <c r="A26" s="88"/>
      <c r="B26" s="76"/>
      <c r="C26" s="4" t="s">
        <v>19</v>
      </c>
      <c r="D26" s="4" t="s">
        <v>33</v>
      </c>
      <c r="E26" s="64"/>
      <c r="F26" s="5" t="s">
        <v>19</v>
      </c>
      <c r="G26" s="5" t="s">
        <v>33</v>
      </c>
      <c r="H26" s="64"/>
      <c r="I26" s="5" t="s">
        <v>19</v>
      </c>
      <c r="J26" s="5" t="s">
        <v>33</v>
      </c>
      <c r="K26" s="62"/>
      <c r="L26" s="6" t="s">
        <v>19</v>
      </c>
      <c r="M26" s="6" t="s">
        <v>33</v>
      </c>
      <c r="N26" s="84"/>
      <c r="O26" s="6" t="s">
        <v>19</v>
      </c>
      <c r="P26" s="6" t="s">
        <v>33</v>
      </c>
      <c r="Q26" s="32"/>
      <c r="R26" s="32"/>
      <c r="S26" s="32"/>
      <c r="T26" s="32"/>
      <c r="U26" s="32"/>
      <c r="V26" s="32"/>
      <c r="W26" s="32"/>
      <c r="X26" s="32"/>
    </row>
    <row r="27" spans="1:26" ht="16.5" customHeight="1" x14ac:dyDescent="0.35">
      <c r="A27" s="47" t="s">
        <v>23</v>
      </c>
      <c r="B27" s="9">
        <v>338</v>
      </c>
      <c r="C27" s="9">
        <v>124</v>
      </c>
      <c r="D27" s="37">
        <f>C27/B27</f>
        <v>0.36686390532544377</v>
      </c>
      <c r="E27" s="9">
        <v>825</v>
      </c>
      <c r="F27" s="55">
        <v>149</v>
      </c>
      <c r="G27" s="54">
        <f>F27/E27</f>
        <v>0.1806060606060606</v>
      </c>
      <c r="H27" s="9">
        <v>546</v>
      </c>
      <c r="I27" s="9">
        <v>259</v>
      </c>
      <c r="J27" s="37">
        <f>I27/H27</f>
        <v>0.47435897435897434</v>
      </c>
      <c r="K27" s="9">
        <v>827</v>
      </c>
      <c r="L27" s="9">
        <v>168</v>
      </c>
      <c r="M27" s="37">
        <f>L27/K27</f>
        <v>0.20314389359129384</v>
      </c>
      <c r="N27" s="9">
        <v>1652</v>
      </c>
      <c r="O27" s="9">
        <v>917</v>
      </c>
      <c r="P27" s="37">
        <f>O27/N27</f>
        <v>0.55508474576271183</v>
      </c>
      <c r="Q27" s="32"/>
      <c r="R27" s="38"/>
      <c r="S27" s="39" t="s">
        <v>40</v>
      </c>
      <c r="T27" s="32"/>
      <c r="U27" s="32"/>
      <c r="V27" s="32"/>
      <c r="W27" s="32"/>
      <c r="X27" s="32"/>
    </row>
    <row r="28" spans="1:26" ht="15" customHeight="1" x14ac:dyDescent="0.4">
      <c r="A28" s="47" t="s">
        <v>24</v>
      </c>
      <c r="B28" s="9">
        <v>587</v>
      </c>
      <c r="C28" s="9">
        <v>193</v>
      </c>
      <c r="D28" s="37">
        <f>C28/B28</f>
        <v>0.32879045996592843</v>
      </c>
      <c r="E28" s="9">
        <v>1062</v>
      </c>
      <c r="F28" s="55">
        <v>159</v>
      </c>
      <c r="G28" s="54">
        <f t="shared" ref="G28:G33" si="11">F28/E28</f>
        <v>0.14971751412429379</v>
      </c>
      <c r="H28" s="9">
        <v>735</v>
      </c>
      <c r="I28" s="9">
        <v>242</v>
      </c>
      <c r="J28" s="37">
        <f t="shared" ref="J28:J36" si="12">I28/H28</f>
        <v>0.3292517006802721</v>
      </c>
      <c r="K28" s="9">
        <v>1189</v>
      </c>
      <c r="L28" s="9">
        <v>203</v>
      </c>
      <c r="M28" s="37">
        <f t="shared" ref="M28:M36" si="13">L28/K28</f>
        <v>0.17073170731707318</v>
      </c>
      <c r="N28" s="9">
        <v>2384</v>
      </c>
      <c r="O28" s="9">
        <v>1010</v>
      </c>
      <c r="P28" s="37">
        <f t="shared" ref="P28:P33" si="14">O28/N28</f>
        <v>0.42365771812080538</v>
      </c>
      <c r="Q28" s="32"/>
      <c r="R28" s="40"/>
      <c r="S28" s="41" t="s">
        <v>41</v>
      </c>
      <c r="T28" s="32"/>
      <c r="U28" s="32"/>
      <c r="V28" s="32"/>
      <c r="W28" s="32"/>
      <c r="X28" s="32"/>
    </row>
    <row r="29" spans="1:26" ht="16.5" customHeight="1" x14ac:dyDescent="0.4">
      <c r="A29" s="47" t="s">
        <v>25</v>
      </c>
      <c r="B29" s="9">
        <v>83</v>
      </c>
      <c r="C29" s="55">
        <v>33</v>
      </c>
      <c r="D29" s="54">
        <f t="shared" ref="D29:D34" si="15">C29/B29</f>
        <v>0.39759036144578314</v>
      </c>
      <c r="E29" s="9">
        <v>251</v>
      </c>
      <c r="F29" s="9">
        <v>48</v>
      </c>
      <c r="G29" s="37">
        <f t="shared" si="11"/>
        <v>0.19123505976095617</v>
      </c>
      <c r="H29" s="9">
        <v>184</v>
      </c>
      <c r="I29" s="55">
        <v>109</v>
      </c>
      <c r="J29" s="54">
        <f t="shared" si="12"/>
        <v>0.59239130434782605</v>
      </c>
      <c r="K29" s="9">
        <v>537</v>
      </c>
      <c r="L29" s="55">
        <v>51</v>
      </c>
      <c r="M29" s="54">
        <f t="shared" si="13"/>
        <v>9.4972067039106142E-2</v>
      </c>
      <c r="N29" s="9">
        <v>1074</v>
      </c>
      <c r="O29" s="55">
        <v>813</v>
      </c>
      <c r="P29" s="54">
        <f t="shared" si="14"/>
        <v>0.75698324022346364</v>
      </c>
      <c r="Q29" s="32"/>
      <c r="R29" s="42"/>
      <c r="S29" s="41" t="s">
        <v>42</v>
      </c>
      <c r="T29" s="32"/>
      <c r="U29" s="32"/>
      <c r="V29" s="32"/>
      <c r="W29" s="32"/>
      <c r="X29" s="32"/>
    </row>
    <row r="30" spans="1:26" x14ac:dyDescent="0.35">
      <c r="A30" s="7" t="s">
        <v>26</v>
      </c>
      <c r="B30" s="9">
        <v>321</v>
      </c>
      <c r="C30" s="55">
        <v>110</v>
      </c>
      <c r="D30" s="54">
        <f t="shared" si="15"/>
        <v>0.34267912772585668</v>
      </c>
      <c r="E30" s="9">
        <v>682</v>
      </c>
      <c r="F30" s="55">
        <v>75</v>
      </c>
      <c r="G30" s="54">
        <f t="shared" si="11"/>
        <v>0.10997067448680352</v>
      </c>
      <c r="H30" s="9">
        <v>476</v>
      </c>
      <c r="I30" s="9">
        <v>154</v>
      </c>
      <c r="J30" s="37">
        <f t="shared" si="12"/>
        <v>0.3235294117647059</v>
      </c>
      <c r="K30" s="9">
        <v>1076</v>
      </c>
      <c r="L30" s="55">
        <v>172</v>
      </c>
      <c r="M30" s="54">
        <f t="shared" si="13"/>
        <v>0.15985130111524162</v>
      </c>
      <c r="N30" s="9">
        <v>2145</v>
      </c>
      <c r="O30" s="9">
        <v>1292</v>
      </c>
      <c r="P30" s="37">
        <f t="shared" si="14"/>
        <v>0.60233100233100234</v>
      </c>
      <c r="Q30" s="32"/>
      <c r="R30" s="32"/>
      <c r="S30" s="32"/>
      <c r="T30" s="32"/>
      <c r="U30" s="32"/>
      <c r="V30" s="32"/>
      <c r="W30" s="32"/>
      <c r="X30" s="32"/>
    </row>
    <row r="31" spans="1:26" hidden="1" x14ac:dyDescent="0.35">
      <c r="B31" s="34"/>
      <c r="C31" s="55"/>
      <c r="D31" s="54" t="e">
        <f t="shared" si="15"/>
        <v>#DIV/0!</v>
      </c>
      <c r="E31" s="34"/>
      <c r="F31" s="55"/>
      <c r="G31" s="54" t="e">
        <f t="shared" si="11"/>
        <v>#DIV/0!</v>
      </c>
      <c r="H31" s="34"/>
      <c r="I31" s="34"/>
      <c r="J31" s="37" t="e">
        <f t="shared" si="12"/>
        <v>#DIV/0!</v>
      </c>
      <c r="K31" s="34"/>
      <c r="L31" s="34"/>
      <c r="M31" s="37" t="e">
        <f t="shared" si="13"/>
        <v>#DIV/0!</v>
      </c>
      <c r="N31" s="34"/>
      <c r="O31" s="34"/>
      <c r="P31" s="37" t="e">
        <f t="shared" si="14"/>
        <v>#DIV/0!</v>
      </c>
      <c r="Q31" s="32"/>
      <c r="R31" s="32"/>
      <c r="S31" s="32"/>
      <c r="T31" s="32"/>
      <c r="U31" s="32"/>
      <c r="V31" s="32"/>
      <c r="W31" s="32"/>
      <c r="X31" s="32"/>
    </row>
    <row r="32" spans="1:26" x14ac:dyDescent="0.35">
      <c r="A32" s="7" t="s">
        <v>28</v>
      </c>
      <c r="B32" s="9">
        <v>113</v>
      </c>
      <c r="C32" s="55">
        <v>41</v>
      </c>
      <c r="D32" s="54">
        <f t="shared" si="15"/>
        <v>0.36283185840707965</v>
      </c>
      <c r="E32" s="9">
        <v>269</v>
      </c>
      <c r="F32" s="55">
        <v>21</v>
      </c>
      <c r="G32" s="54">
        <f t="shared" si="11"/>
        <v>7.8066914498141265E-2</v>
      </c>
      <c r="H32" s="9">
        <v>241</v>
      </c>
      <c r="I32" s="9">
        <v>36</v>
      </c>
      <c r="J32" s="37">
        <f t="shared" si="12"/>
        <v>0.14937759336099585</v>
      </c>
      <c r="K32" s="9">
        <v>928</v>
      </c>
      <c r="L32" s="55">
        <v>37</v>
      </c>
      <c r="M32" s="54">
        <f t="shared" si="13"/>
        <v>3.9870689655172417E-2</v>
      </c>
      <c r="N32" s="9">
        <v>1858</v>
      </c>
      <c r="O32" s="9">
        <v>1228</v>
      </c>
      <c r="P32" s="37">
        <f t="shared" si="14"/>
        <v>0.66092572658772875</v>
      </c>
      <c r="Q32" s="32"/>
      <c r="R32" s="32"/>
      <c r="S32" s="32"/>
      <c r="T32" s="32"/>
      <c r="U32" s="32"/>
      <c r="V32" s="32"/>
      <c r="W32" s="32"/>
      <c r="X32" s="32"/>
    </row>
    <row r="33" spans="1:24" x14ac:dyDescent="0.35">
      <c r="A33" s="7" t="s">
        <v>29</v>
      </c>
      <c r="B33" s="9">
        <v>813</v>
      </c>
      <c r="C33" s="9">
        <v>287</v>
      </c>
      <c r="D33" s="37">
        <f t="shared" si="15"/>
        <v>0.35301353013530135</v>
      </c>
      <c r="E33" s="9">
        <v>1687</v>
      </c>
      <c r="F33" s="9">
        <v>304</v>
      </c>
      <c r="G33" s="37">
        <f t="shared" si="11"/>
        <v>0.18020154119739182</v>
      </c>
      <c r="H33" s="9">
        <v>1192</v>
      </c>
      <c r="I33" s="9">
        <v>369</v>
      </c>
      <c r="J33" s="37">
        <f t="shared" si="12"/>
        <v>0.30956375838926176</v>
      </c>
      <c r="K33" s="9">
        <v>1944</v>
      </c>
      <c r="L33" s="9">
        <v>343</v>
      </c>
      <c r="M33" s="37">
        <f t="shared" si="13"/>
        <v>0.17644032921810698</v>
      </c>
      <c r="N33" s="9">
        <v>3882</v>
      </c>
      <c r="O33" s="9">
        <v>2717</v>
      </c>
      <c r="P33" s="37">
        <f t="shared" si="14"/>
        <v>0.69989696032972692</v>
      </c>
      <c r="Q33" s="32"/>
      <c r="R33" s="32"/>
      <c r="S33" s="32"/>
      <c r="T33" s="32"/>
      <c r="U33" s="32"/>
      <c r="V33" s="32"/>
      <c r="W33" s="32"/>
      <c r="X33" s="32"/>
    </row>
    <row r="34" spans="1:24" x14ac:dyDescent="0.35">
      <c r="A34" s="7" t="s">
        <v>34</v>
      </c>
      <c r="B34" s="35"/>
      <c r="C34" s="55">
        <v>46</v>
      </c>
      <c r="D34" s="36"/>
      <c r="E34" s="35"/>
      <c r="F34" s="55">
        <v>15</v>
      </c>
      <c r="G34" s="36"/>
      <c r="H34" s="35"/>
      <c r="I34" s="55">
        <v>24</v>
      </c>
      <c r="J34" s="36"/>
      <c r="K34" s="35"/>
      <c r="L34" s="55">
        <v>34</v>
      </c>
      <c r="M34" s="36"/>
      <c r="N34" s="35"/>
      <c r="O34" s="55">
        <v>289</v>
      </c>
      <c r="P34" s="36"/>
      <c r="Q34" s="32"/>
      <c r="R34" s="32"/>
      <c r="S34" s="32"/>
      <c r="T34" s="32"/>
      <c r="U34" s="32"/>
      <c r="V34" s="32"/>
      <c r="W34" s="32"/>
      <c r="X34" s="32"/>
    </row>
    <row r="35" spans="1:24" x14ac:dyDescent="0.35">
      <c r="A35" s="13" t="s">
        <v>27</v>
      </c>
      <c r="B35" s="29">
        <v>1203</v>
      </c>
      <c r="C35" s="29">
        <f>SUM(C37:C38)</f>
        <v>437</v>
      </c>
      <c r="D35" s="37">
        <f>C35/B35</f>
        <v>0.36325852036575229</v>
      </c>
      <c r="E35" s="29">
        <v>2391</v>
      </c>
      <c r="F35" s="55">
        <f>SUM(F37:F38)</f>
        <v>185</v>
      </c>
      <c r="G35" s="54">
        <f>F35/E35</f>
        <v>7.7373483897950651E-2</v>
      </c>
      <c r="H35" s="29">
        <v>1650</v>
      </c>
      <c r="I35" s="29">
        <f>SUM(I37:I38)</f>
        <v>459</v>
      </c>
      <c r="J35" s="37">
        <f t="shared" si="12"/>
        <v>0.2781818181818182</v>
      </c>
      <c r="K35" s="29">
        <v>2538</v>
      </c>
      <c r="L35" s="29">
        <f>SUM(L37:L38)</f>
        <v>316</v>
      </c>
      <c r="M35" s="37">
        <f t="shared" si="13"/>
        <v>0.12450748620961387</v>
      </c>
      <c r="N35" s="29">
        <v>5073</v>
      </c>
      <c r="O35" s="29">
        <f>SUM(O37:O38)</f>
        <v>2089</v>
      </c>
      <c r="P35" s="37">
        <f t="shared" ref="P35:P36" si="16">O35/N35</f>
        <v>0.41178789670806232</v>
      </c>
      <c r="Q35" s="32"/>
      <c r="R35" s="32"/>
      <c r="S35" s="32"/>
      <c r="T35" s="32"/>
      <c r="U35" s="32"/>
      <c r="V35" s="32"/>
      <c r="W35" s="32"/>
      <c r="X35" s="32"/>
    </row>
    <row r="36" spans="1:24" ht="15" customHeight="1" x14ac:dyDescent="0.35">
      <c r="A36" s="8" t="s">
        <v>30</v>
      </c>
      <c r="B36" s="30">
        <f>SUM(B27:B35)</f>
        <v>3458</v>
      </c>
      <c r="C36" s="30">
        <f>SUM(C27:C35)</f>
        <v>1271</v>
      </c>
      <c r="D36" s="37">
        <f>C36/B36</f>
        <v>0.3675534991324465</v>
      </c>
      <c r="E36" s="30">
        <f>SUM(E27:E35)</f>
        <v>7167</v>
      </c>
      <c r="F36" s="30">
        <f>SUM(F27:F35)</f>
        <v>956</v>
      </c>
      <c r="G36" s="37">
        <f>F36/E36</f>
        <v>0.13338914469094459</v>
      </c>
      <c r="H36" s="30">
        <f>SUM(H27:H35)</f>
        <v>5024</v>
      </c>
      <c r="I36" s="30">
        <f>SUM(I27:I35)</f>
        <v>1652</v>
      </c>
      <c r="J36" s="37">
        <f t="shared" si="12"/>
        <v>0.32882165605095542</v>
      </c>
      <c r="K36" s="30">
        <f>SUM(K27:K35)</f>
        <v>9039</v>
      </c>
      <c r="L36" s="30">
        <f>SUM(L27:L35)</f>
        <v>1324</v>
      </c>
      <c r="M36" s="37">
        <f t="shared" si="13"/>
        <v>0.14647638013054542</v>
      </c>
      <c r="N36" s="30">
        <f>SUM(N27:N35)</f>
        <v>18068</v>
      </c>
      <c r="O36" s="30">
        <f>SUM(O27:O35)</f>
        <v>10355</v>
      </c>
      <c r="P36" s="37">
        <f t="shared" si="16"/>
        <v>0.57311268541067084</v>
      </c>
      <c r="Q36" s="32"/>
      <c r="R36" s="32"/>
      <c r="S36" s="32"/>
      <c r="T36" s="32"/>
      <c r="U36" s="32"/>
      <c r="V36" s="32"/>
      <c r="W36" s="32"/>
      <c r="X36" s="32"/>
    </row>
    <row r="37" spans="1:24" ht="15.5" hidden="1" customHeight="1" x14ac:dyDescent="0.35">
      <c r="B37" s="20"/>
      <c r="C37" s="15">
        <v>401</v>
      </c>
      <c r="D37" s="20"/>
      <c r="E37" s="20"/>
      <c r="F37" s="15">
        <v>173</v>
      </c>
      <c r="G37" s="20"/>
      <c r="H37" s="20"/>
      <c r="I37" s="15">
        <v>447</v>
      </c>
      <c r="J37" s="20"/>
      <c r="K37" s="20"/>
      <c r="L37" s="15">
        <v>303</v>
      </c>
      <c r="M37" s="20"/>
      <c r="N37" s="20"/>
      <c r="O37" s="15">
        <v>2084</v>
      </c>
      <c r="P37" s="20"/>
      <c r="Q37" s="32"/>
      <c r="R37" s="32"/>
      <c r="S37" s="32"/>
      <c r="T37" s="32"/>
      <c r="U37" s="32"/>
      <c r="V37" s="32"/>
      <c r="W37" s="32"/>
      <c r="X37" s="32"/>
    </row>
    <row r="38" spans="1:24" ht="18" hidden="1" customHeight="1" x14ac:dyDescent="0.35">
      <c r="B38" s="20"/>
      <c r="C38" s="49">
        <v>36</v>
      </c>
      <c r="D38" s="20"/>
      <c r="E38" s="20"/>
      <c r="F38" s="49">
        <v>12</v>
      </c>
      <c r="G38" s="20"/>
      <c r="H38" s="20"/>
      <c r="I38" s="49">
        <v>12</v>
      </c>
      <c r="J38" s="20"/>
      <c r="K38" s="20"/>
      <c r="L38" s="49">
        <v>13</v>
      </c>
      <c r="M38" s="20"/>
      <c r="N38" s="20"/>
      <c r="O38" s="49">
        <v>5</v>
      </c>
      <c r="P38" s="20"/>
      <c r="Q38" s="32"/>
      <c r="R38" s="32"/>
      <c r="S38" s="32"/>
      <c r="T38" s="32"/>
      <c r="U38" s="32"/>
      <c r="V38" s="32"/>
      <c r="W38" s="32"/>
      <c r="X38" s="32"/>
    </row>
    <row r="39" spans="1:24" x14ac:dyDescent="0.35">
      <c r="A39" s="78" t="s">
        <v>38</v>
      </c>
      <c r="B39" s="78"/>
      <c r="C39" s="78"/>
      <c r="D39" s="78"/>
      <c r="E39" s="78"/>
      <c r="F39" s="78"/>
      <c r="G39" s="78"/>
      <c r="H39" s="78"/>
      <c r="I39" s="78"/>
      <c r="J39" s="78"/>
      <c r="K39" s="25"/>
      <c r="L39" s="25"/>
      <c r="M39" s="25"/>
      <c r="N39" s="25"/>
      <c r="O39" s="25"/>
      <c r="P39" s="25"/>
      <c r="Q39" s="32"/>
      <c r="R39" s="32"/>
      <c r="S39" s="32"/>
      <c r="T39" s="32"/>
      <c r="U39" s="32"/>
      <c r="V39" s="32"/>
      <c r="W39" s="32"/>
      <c r="X39" s="32"/>
    </row>
    <row r="40" spans="1:24" x14ac:dyDescent="0.35">
      <c r="A40" s="78" t="s">
        <v>48</v>
      </c>
      <c r="B40" s="78"/>
      <c r="C40" s="78"/>
      <c r="D40" s="78"/>
      <c r="E40" s="78"/>
      <c r="F40" s="78"/>
      <c r="G40" s="78"/>
      <c r="H40" s="78"/>
      <c r="I40" s="78"/>
      <c r="J40" s="78"/>
      <c r="K40" s="25"/>
      <c r="L40" s="25"/>
      <c r="M40" s="25"/>
      <c r="N40" s="25"/>
      <c r="O40" s="25"/>
      <c r="P40" s="25"/>
      <c r="Q40" s="32"/>
      <c r="R40" s="32"/>
      <c r="S40" s="32"/>
      <c r="T40" s="32"/>
      <c r="U40" s="32"/>
      <c r="V40" s="32"/>
      <c r="W40" s="32"/>
      <c r="X40" s="32"/>
    </row>
    <row r="41" spans="1:24" x14ac:dyDescent="0.35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32"/>
      <c r="R41" s="32"/>
      <c r="S41" s="32"/>
      <c r="T41" s="32"/>
      <c r="U41" s="32"/>
      <c r="V41" s="32"/>
      <c r="W41" s="32"/>
      <c r="X41" s="32"/>
    </row>
    <row r="42" spans="1:24" x14ac:dyDescent="0.35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32"/>
      <c r="R42" s="32"/>
      <c r="S42" s="32"/>
      <c r="T42" s="32"/>
      <c r="U42" s="32"/>
      <c r="V42" s="32"/>
      <c r="W42" s="32"/>
      <c r="X42" s="32"/>
    </row>
    <row r="43" spans="1:24" x14ac:dyDescent="0.3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32"/>
      <c r="R43" s="32"/>
      <c r="S43" s="32"/>
      <c r="T43" s="32"/>
      <c r="U43" s="32"/>
      <c r="V43" s="32"/>
      <c r="W43" s="32"/>
      <c r="X43" s="32"/>
    </row>
    <row r="44" spans="1:24" x14ac:dyDescent="0.35">
      <c r="Q44" s="32"/>
      <c r="R44" s="32"/>
      <c r="S44" s="32"/>
      <c r="T44" s="32"/>
      <c r="U44" s="32"/>
      <c r="V44" s="32"/>
      <c r="W44" s="32"/>
      <c r="X44" s="32"/>
    </row>
  </sheetData>
  <mergeCells count="37">
    <mergeCell ref="L25:M25"/>
    <mergeCell ref="N25:N26"/>
    <mergeCell ref="O25:P25"/>
    <mergeCell ref="A39:J39"/>
    <mergeCell ref="A40:J40"/>
    <mergeCell ref="C25:D25"/>
    <mergeCell ref="E25:E26"/>
    <mergeCell ref="F25:G25"/>
    <mergeCell ref="H25:H26"/>
    <mergeCell ref="I25:J25"/>
    <mergeCell ref="K25:K26"/>
    <mergeCell ref="W8:X8"/>
    <mergeCell ref="Y8:Z8"/>
    <mergeCell ref="A21:J21"/>
    <mergeCell ref="A22:J22"/>
    <mergeCell ref="A24:A26"/>
    <mergeCell ref="B24:D24"/>
    <mergeCell ref="E24:J24"/>
    <mergeCell ref="K24:P24"/>
    <mergeCell ref="R24:T25"/>
    <mergeCell ref="B25:B26"/>
    <mergeCell ref="K8:K9"/>
    <mergeCell ref="L8:M8"/>
    <mergeCell ref="N8:Q8"/>
    <mergeCell ref="R8:S8"/>
    <mergeCell ref="T8:U8"/>
    <mergeCell ref="V8:V9"/>
    <mergeCell ref="E1:Z6"/>
    <mergeCell ref="A7:A9"/>
    <mergeCell ref="B7:J7"/>
    <mergeCell ref="K7:Q7"/>
    <mergeCell ref="V7:Z7"/>
    <mergeCell ref="B8:B9"/>
    <mergeCell ref="C8:D8"/>
    <mergeCell ref="E8:F8"/>
    <mergeCell ref="G8:H8"/>
    <mergeCell ref="I8:J8"/>
  </mergeCells>
  <conditionalFormatting sqref="B3">
    <cfRule type="iconSet" priority="1">
      <iconSet>
        <cfvo type="percent" val="0"/>
        <cfvo type="num" val="0.1333"/>
        <cfvo type="num" val="0.1583"/>
      </iconSet>
    </cfRule>
  </conditionalFormatting>
  <conditionalFormatting sqref="B4">
    <cfRule type="iconSet" priority="3">
      <iconSet>
        <cfvo type="percent" val="0"/>
        <cfvo type="num" val="0.1333"/>
        <cfvo type="num" val="0.1583"/>
      </iconSet>
    </cfRule>
  </conditionalFormatting>
  <conditionalFormatting sqref="C6 B3:B5">
    <cfRule type="iconSet" priority="2">
      <iconSet>
        <cfvo type="percent" val="0"/>
        <cfvo type="num" val="0.1333"/>
        <cfvo type="num" val="0.158"/>
      </iconSet>
    </cfRule>
  </conditionalFormatting>
  <conditionalFormatting sqref="C6 B5">
    <cfRule type="iconSet" priority="4">
      <iconSet>
        <cfvo type="percent" val="0"/>
        <cfvo type="num" val="0.1333"/>
        <cfvo type="num" val="0.1583"/>
      </iconSet>
    </cfRule>
  </conditionalFormatting>
  <conditionalFormatting sqref="D10:D18">
    <cfRule type="iconSet" priority="29">
      <iconSet>
        <cfvo type="percent" val="0"/>
        <cfvo type="num" val="0.33"/>
        <cfvo type="num" val="0.41499999999999998"/>
      </iconSet>
    </cfRule>
  </conditionalFormatting>
  <conditionalFormatting sqref="D27:D33">
    <cfRule type="iconSet" priority="18">
      <iconSet>
        <cfvo type="percent" val="0"/>
        <cfvo type="num" val="0.33"/>
        <cfvo type="num" val="0.41499999999999998"/>
      </iconSet>
    </cfRule>
  </conditionalFormatting>
  <conditionalFormatting sqref="D35:D36">
    <cfRule type="iconSet" priority="17">
      <iconSet>
        <cfvo type="percent" val="0"/>
        <cfvo type="num" val="0.33"/>
        <cfvo type="num" val="0.41499999999999998"/>
      </iconSet>
    </cfRule>
  </conditionalFormatting>
  <conditionalFormatting sqref="F10:F18">
    <cfRule type="iconSet" priority="28">
      <iconSet>
        <cfvo type="percent" val="0"/>
        <cfvo type="num" val="0.33"/>
        <cfvo type="num" val="0.41499999999999998"/>
      </iconSet>
    </cfRule>
  </conditionalFormatting>
  <conditionalFormatting sqref="G27:G33">
    <cfRule type="iconSet" priority="16">
      <iconSet>
        <cfvo type="percent" val="0"/>
        <cfvo type="num" val="0.33"/>
        <cfvo type="num" val="0.41499999999999998"/>
      </iconSet>
    </cfRule>
  </conditionalFormatting>
  <conditionalFormatting sqref="G35:G36">
    <cfRule type="iconSet" priority="12">
      <iconSet>
        <cfvo type="percent" val="0"/>
        <cfvo type="num" val="0.33"/>
        <cfvo type="num" val="0.41499999999999998"/>
      </iconSet>
    </cfRule>
  </conditionalFormatting>
  <conditionalFormatting sqref="H10:H18">
    <cfRule type="iconSet" priority="27">
      <iconSet>
        <cfvo type="percent" val="0"/>
        <cfvo type="num" val="0.33"/>
        <cfvo type="num" val="0.41499999999999998"/>
      </iconSet>
    </cfRule>
  </conditionalFormatting>
  <conditionalFormatting sqref="J10:J18">
    <cfRule type="iconSet" priority="26">
      <iconSet>
        <cfvo type="percent" val="0"/>
        <cfvo type="num" val="0.33"/>
        <cfvo type="num" val="0.41499999999999998"/>
      </iconSet>
    </cfRule>
  </conditionalFormatting>
  <conditionalFormatting sqref="J27:J33">
    <cfRule type="iconSet" priority="15">
      <iconSet>
        <cfvo type="percent" val="0"/>
        <cfvo type="num" val="0.33"/>
        <cfvo type="num" val="0.41499999999999998"/>
      </iconSet>
    </cfRule>
  </conditionalFormatting>
  <conditionalFormatting sqref="J35:J36">
    <cfRule type="iconSet" priority="11">
      <iconSet>
        <cfvo type="percent" val="0"/>
        <cfvo type="num" val="0.33"/>
        <cfvo type="num" val="0.41499999999999998"/>
      </iconSet>
    </cfRule>
  </conditionalFormatting>
  <conditionalFormatting sqref="M10:M18">
    <cfRule type="iconSet" priority="25">
      <iconSet>
        <cfvo type="percent" val="0"/>
        <cfvo type="num" val="0.33"/>
        <cfvo type="num" val="0.41499999999999998"/>
      </iconSet>
    </cfRule>
  </conditionalFormatting>
  <conditionalFormatting sqref="M27:M33">
    <cfRule type="iconSet" priority="14">
      <iconSet>
        <cfvo type="percent" val="0"/>
        <cfvo type="num" val="0.33"/>
        <cfvo type="num" val="0.41499999999999998"/>
      </iconSet>
    </cfRule>
  </conditionalFormatting>
  <conditionalFormatting sqref="M35:M36">
    <cfRule type="iconSet" priority="10">
      <iconSet>
        <cfvo type="percent" val="0"/>
        <cfvo type="num" val="0.33"/>
        <cfvo type="num" val="0.41499999999999998"/>
      </iconSet>
    </cfRule>
  </conditionalFormatting>
  <conditionalFormatting sqref="O10:O18">
    <cfRule type="iconSet" priority="24">
      <iconSet>
        <cfvo type="percent" val="0"/>
        <cfvo type="num" val="0.33"/>
        <cfvo type="num" val="0.41499999999999998"/>
      </iconSet>
    </cfRule>
  </conditionalFormatting>
  <conditionalFormatting sqref="P27:P33">
    <cfRule type="iconSet" priority="13">
      <iconSet>
        <cfvo type="percent" val="0"/>
        <cfvo type="num" val="0.33"/>
        <cfvo type="num" val="0.41499999999999998"/>
      </iconSet>
    </cfRule>
  </conditionalFormatting>
  <conditionalFormatting sqref="P35:P36">
    <cfRule type="iconSet" priority="9">
      <iconSet>
        <cfvo type="percent" val="0"/>
        <cfvo type="num" val="0.33"/>
        <cfvo type="num" val="0.41499999999999998"/>
      </iconSet>
    </cfRule>
  </conditionalFormatting>
  <conditionalFormatting sqref="Q10:Q18">
    <cfRule type="iconSet" priority="23">
      <iconSet>
        <cfvo type="percent" val="0"/>
        <cfvo type="num" val="0.33"/>
        <cfvo type="num" val="0.41499999999999998"/>
      </iconSet>
    </cfRule>
  </conditionalFormatting>
  <conditionalFormatting sqref="S10:S18">
    <cfRule type="iconSet" priority="22">
      <iconSet>
        <cfvo type="percent" val="0"/>
        <cfvo type="num" val="0.33"/>
        <cfvo type="num" val="0.41499999999999998"/>
      </iconSet>
    </cfRule>
  </conditionalFormatting>
  <conditionalFormatting sqref="S27">
    <cfRule type="iconSet" priority="5">
      <iconSet>
        <cfvo type="percent" val="0"/>
        <cfvo type="num" val="0.1333"/>
        <cfvo type="num" val="0.1583"/>
      </iconSet>
    </cfRule>
  </conditionalFormatting>
  <conditionalFormatting sqref="S27:S29">
    <cfRule type="iconSet" priority="6">
      <iconSet>
        <cfvo type="percent" val="0"/>
        <cfvo type="num" val="0.1333"/>
        <cfvo type="num" val="0.158"/>
      </iconSet>
    </cfRule>
  </conditionalFormatting>
  <conditionalFormatting sqref="S28">
    <cfRule type="iconSet" priority="7">
      <iconSet>
        <cfvo type="percent" val="0"/>
        <cfvo type="num" val="0.1333"/>
        <cfvo type="num" val="0.1583"/>
      </iconSet>
    </cfRule>
  </conditionalFormatting>
  <conditionalFormatting sqref="S29">
    <cfRule type="iconSet" priority="8">
      <iconSet>
        <cfvo type="percent" val="0"/>
        <cfvo type="num" val="0.1333"/>
        <cfvo type="num" val="0.1583"/>
      </iconSet>
    </cfRule>
  </conditionalFormatting>
  <conditionalFormatting sqref="U10:U18">
    <cfRule type="iconSet" priority="21">
      <iconSet>
        <cfvo type="percent" val="0"/>
        <cfvo type="num" val="0.33"/>
        <cfvo type="num" val="0.41499999999999998"/>
      </iconSet>
    </cfRule>
  </conditionalFormatting>
  <conditionalFormatting sqref="X10:X18">
    <cfRule type="iconSet" priority="20">
      <iconSet>
        <cfvo type="percent" val="0"/>
        <cfvo type="num" val="0.33"/>
        <cfvo type="num" val="0.41499999999999998"/>
      </iconSet>
    </cfRule>
  </conditionalFormatting>
  <conditionalFormatting sqref="Z10:Z18">
    <cfRule type="iconSet" priority="19">
      <iconSet>
        <cfvo type="percent" val="0"/>
        <cfvo type="num" val="0.33"/>
        <cfvo type="num" val="0.41499999999999998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18-05-2026</vt:lpstr>
      <vt:lpstr>18 MAY</vt:lpstr>
      <vt:lpstr>19 MAY</vt:lpstr>
      <vt:lpstr>20 MAY</vt:lpstr>
      <vt:lpstr>21 MAY</vt:lpstr>
      <vt:lpstr>21 MAY (COMPrativo)</vt:lpstr>
      <vt:lpstr>25 MAY</vt:lpstr>
      <vt:lpstr>25 MAY (COMPARATIVO)</vt:lpstr>
      <vt:lpstr>26 MAY</vt:lpstr>
      <vt:lpstr>26 MAY (COMPARATIVO)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ADMINISTRADOR</dc:creator>
  <cp:lastModifiedBy>HP ADMINISTRADOR</cp:lastModifiedBy>
  <dcterms:created xsi:type="dcterms:W3CDTF">2026-05-19T16:41:59Z</dcterms:created>
  <dcterms:modified xsi:type="dcterms:W3CDTF">2026-05-26T16:25:17Z</dcterms:modified>
</cp:coreProperties>
</file>