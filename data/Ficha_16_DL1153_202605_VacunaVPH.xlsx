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DICADORES DE DESEMPEÑO Y COMPROMISO DE MEJORA\Indicadores de Desempeño y Mejora 2026\05_MAYO_2026_DL1153_REPORTE\"/>
    </mc:Choice>
  </mc:AlternateContent>
  <bookViews>
    <workbookView xWindow="0" yWindow="0" windowWidth="23040" windowHeight="9072"/>
  </bookViews>
  <sheets>
    <sheet name="Hoja1" sheetId="2" r:id="rId1"/>
    <sheet name="sheet1" sheetId="1" r:id="rId2"/>
  </sheets>
  <calcPr calcId="162913"/>
  <pivotCaches>
    <pivotCache cacheId="114" r:id="rId3"/>
  </pivotCaches>
</workbook>
</file>

<file path=xl/calcChain.xml><?xml version="1.0" encoding="utf-8"?>
<calcChain xmlns="http://schemas.openxmlformats.org/spreadsheetml/2006/main">
  <c r="K14" i="2" l="1"/>
  <c r="J14" i="2" l="1"/>
  <c r="L14" i="2" l="1"/>
</calcChain>
</file>

<file path=xl/sharedStrings.xml><?xml version="1.0" encoding="utf-8"?>
<sst xmlns="http://schemas.openxmlformats.org/spreadsheetml/2006/main" count="41" uniqueCount="24">
  <si>
    <t>Anio</t>
  </si>
  <si>
    <t>Mes</t>
  </si>
  <si>
    <t>DESC_DPTO</t>
  </si>
  <si>
    <t>edad</t>
  </si>
  <si>
    <t>denominador</t>
  </si>
  <si>
    <t>numerador</t>
  </si>
  <si>
    <t>HUANCAVELICA</t>
  </si>
  <si>
    <t>Total general</t>
  </si>
  <si>
    <t>Suma de denominador</t>
  </si>
  <si>
    <t>Suma de numerador</t>
  </si>
  <si>
    <t>Suma de Denominador1</t>
  </si>
  <si>
    <t>Suma de Indicador</t>
  </si>
  <si>
    <t>(Todas)</t>
  </si>
  <si>
    <t>Avance</t>
  </si>
  <si>
    <t>DENOMINADOR</t>
  </si>
  <si>
    <t>NUMERADOR</t>
  </si>
  <si>
    <t>INDICADOR</t>
  </si>
  <si>
    <t>MES</t>
  </si>
  <si>
    <t>DEPARTAMENTO</t>
  </si>
  <si>
    <t>Ficha 16: Porcentaje de niñas y niños de 9 años de edad vacunados contra el virus de papiloma humano (VPH).</t>
  </si>
  <si>
    <t>Logro esperado:</t>
  </si>
  <si>
    <t>&gt;=90%</t>
  </si>
  <si>
    <t>PERIODO: ENERO - MAYO 2026</t>
  </si>
  <si>
    <t>FUENTE: HISMINSA: 17/05/2026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</si>
</sst>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1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3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1" fillId="3" borderId="0" xfId="0" applyFont="1" applyFill="1"/>
    <xf numFmtId="164" fontId="1" fillId="3" borderId="0" xfId="1" applyNumberFormat="1" applyFont="1" applyFill="1"/>
    <xf numFmtId="0" fontId="1" fillId="3" borderId="0" xfId="0" applyFont="1" applyFill="1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9" fontId="7" fillId="7" borderId="2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16">
    <dxf>
      <numFmt numFmtId="13" formatCode="0%"/>
    </dxf>
    <dxf>
      <numFmt numFmtId="164" formatCode="0.0%"/>
    </dxf>
    <dxf>
      <numFmt numFmtId="13" formatCode="0%"/>
    </dxf>
    <dxf>
      <numFmt numFmtId="164" formatCode="0.0%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uSoft" refreshedDate="46160.522675694447" createdVersion="6" refreshedVersion="6" minRefreshableVersion="3" recordCount="5">
  <cacheSource type="worksheet">
    <worksheetSource name="Tabla1"/>
  </cacheSource>
  <cacheFields count="8">
    <cacheField name="Anio" numFmtId="0">
      <sharedItems containsSemiMixedTypes="0" containsString="0" containsNumber="1" containsInteger="1" minValue="2026" maxValue="2026" count="1">
        <n v="2026"/>
      </sharedItems>
    </cacheField>
    <cacheField name="Mes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DESC_DPTO" numFmtId="0">
      <sharedItems count="1">
        <s v="HUANCAVELICA"/>
      </sharedItems>
    </cacheField>
    <cacheField name="edad" numFmtId="0">
      <sharedItems containsSemiMixedTypes="0" containsString="0" containsNumber="1" containsInteger="1" minValue="9" maxValue="9"/>
    </cacheField>
    <cacheField name="denominador" numFmtId="0">
      <sharedItems containsSemiMixedTypes="0" containsString="0" containsNumber="1" containsInteger="1" minValue="7034" maxValue="7034"/>
    </cacheField>
    <cacheField name="numerador" numFmtId="0">
      <sharedItems containsSemiMixedTypes="0" containsString="0" containsNumber="1" containsInteger="1" minValue="73" maxValue="374"/>
    </cacheField>
    <cacheField name="Denominador1" numFmtId="0" formula="denominador/5" databaseField="0"/>
    <cacheField name="Indicador" numFmtId="0" formula="numerador/Denominador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x v="0"/>
    <x v="0"/>
    <n v="9"/>
    <n v="7034"/>
    <n v="73"/>
  </r>
  <r>
    <x v="0"/>
    <x v="1"/>
    <x v="0"/>
    <n v="9"/>
    <n v="7034"/>
    <n v="118"/>
  </r>
  <r>
    <x v="0"/>
    <x v="2"/>
    <x v="0"/>
    <n v="9"/>
    <n v="7034"/>
    <n v="117"/>
  </r>
  <r>
    <x v="0"/>
    <x v="3"/>
    <x v="0"/>
    <n v="9"/>
    <n v="7034"/>
    <n v="374"/>
  </r>
  <r>
    <x v="0"/>
    <x v="4"/>
    <x v="0"/>
    <n v="9"/>
    <n v="7034"/>
    <n v="1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4" cacheId="114" applyNumberFormats="0" applyBorderFormats="0" applyFontFormats="0" applyPatternFormats="0" applyAlignmentFormats="0" applyWidthHeightFormats="1" dataCaption="Valores" updatedVersion="6" minRefreshableVersion="3" useAutoFormatting="1" rowGrandTotals="0" itemPrintTitles="1" createdVersion="6" indent="0" compact="0" compactData="0" multipleFieldFilters="0">
  <location ref="I8:L13" firstHeaderRow="0" firstDataRow="1" firstDataCol="1" rowPageCount="2" colPageCount="1"/>
  <pivotFields count="8">
    <pivotField axis="axisPage" compact="0" outline="0" multipleItemSelectionAllowed="1" showAll="0">
      <items count="2">
        <item x="0"/>
        <item t="default"/>
      </items>
    </pivotField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axis="axisPage" compact="0" outline="0" showAll="0">
      <items count="2">
        <item x="0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outline="0" dragToRow="0" dragToCol="0" dragToPage="0" showAll="0" defaultSubtotal="0"/>
    <pivotField dataField="1" compact="0" outline="0" dragToRow="0" dragToCol="0" dragToPage="0" showAll="0" defaultSubtotal="0"/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2" hier="-1"/>
  </pageFields>
  <dataFields count="3">
    <dataField name="Suma de denominador" fld="4" baseField="0" baseItem="0"/>
    <dataField name="Suma de numerador" fld="5" baseField="0" baseItem="0"/>
    <dataField name="Suma de Indicador" fld="7" baseField="0" baseItem="0" numFmtId="164"/>
  </dataFields>
  <formats count="2">
    <format dxfId="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13" cacheId="11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8:D10" firstHeaderRow="0" firstDataRow="1" firstDataCol="1" rowPageCount="2" colPageCount="1"/>
  <pivotFields count="8">
    <pivotField axis="axisPage" compact="0" outline="0" multipleItemSelectionAllowed="1" showAll="0">
      <items count="2">
        <item x="0"/>
        <item t="default"/>
      </items>
    </pivotField>
    <pivotField axis="axisPage" compact="0" outline="0" showAll="0">
      <items count="6">
        <item x="0"/>
        <item x="1"/>
        <item x="2"/>
        <item x="3"/>
        <item x="4"/>
        <item t="default"/>
      </items>
    </pivotField>
    <pivotField axis="axisRow" compact="0" outline="0" showAll="0">
      <items count="2">
        <item x="0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</pivotFields>
  <rowFields count="1">
    <field x="2"/>
  </rowFields>
  <rowItems count="2"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1" hier="-1"/>
  </pageFields>
  <dataFields count="3">
    <dataField name="Suma de Denominador1" fld="6" baseField="0" baseItem="0"/>
    <dataField name="Suma de numerador" fld="5" baseField="0" baseItem="0"/>
    <dataField name="Suma de Indicador" fld="7" baseField="0" baseItem="0" numFmtId="164"/>
  </dataFields>
  <formats count="2">
    <format dxfId="1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A1:F6" totalsRowShown="0" headerRowDxfId="11" dataDxfId="10">
  <autoFilter ref="A1:F6"/>
  <tableColumns count="6">
    <tableColumn id="1" name="Anio" dataDxfId="9"/>
    <tableColumn id="2" name="Mes" dataDxfId="8"/>
    <tableColumn id="3" name="DESC_DPTO" dataDxfId="7"/>
    <tableColumn id="4" name="edad" dataDxfId="6"/>
    <tableColumn id="5" name="denominador" dataDxfId="5"/>
    <tableColumn id="6" name="numerador" dataDxfId="4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workbookViewId="0">
      <selection activeCell="B7" sqref="B7"/>
    </sheetView>
  </sheetViews>
  <sheetFormatPr baseColWidth="10" defaultRowHeight="14.4" x14ac:dyDescent="0.3"/>
  <cols>
    <col min="1" max="1" width="15.33203125" customWidth="1"/>
    <col min="2" max="2" width="21.5546875" customWidth="1"/>
    <col min="3" max="3" width="18.33203125" customWidth="1"/>
    <col min="4" max="4" width="16.88671875" customWidth="1"/>
    <col min="9" max="9" width="10.77734375" customWidth="1"/>
    <col min="10" max="10" width="20.33203125" customWidth="1"/>
    <col min="11" max="11" width="18.33203125" customWidth="1"/>
    <col min="12" max="12" width="16.88671875" bestFit="1" customWidth="1"/>
  </cols>
  <sheetData>
    <row r="1" spans="1:12" ht="18" x14ac:dyDescent="0.35">
      <c r="A1" s="10" t="s">
        <v>19</v>
      </c>
    </row>
    <row r="2" spans="1:12" x14ac:dyDescent="0.3">
      <c r="A2" s="11" t="s">
        <v>22</v>
      </c>
    </row>
    <row r="3" spans="1:12" x14ac:dyDescent="0.3">
      <c r="A3" s="12" t="s">
        <v>23</v>
      </c>
    </row>
    <row r="4" spans="1:12" x14ac:dyDescent="0.3">
      <c r="D4" s="17" t="s">
        <v>20</v>
      </c>
      <c r="E4" s="17"/>
      <c r="F4" s="16" t="s">
        <v>21</v>
      </c>
    </row>
    <row r="5" spans="1:12" x14ac:dyDescent="0.3">
      <c r="A5" s="3" t="s">
        <v>0</v>
      </c>
      <c r="B5" s="4">
        <v>2026</v>
      </c>
      <c r="I5" s="3" t="s">
        <v>0</v>
      </c>
      <c r="J5" s="4">
        <v>2026</v>
      </c>
    </row>
    <row r="6" spans="1:12" ht="15" thickBot="1" x14ac:dyDescent="0.35">
      <c r="A6" s="3" t="s">
        <v>1</v>
      </c>
      <c r="B6" t="s">
        <v>12</v>
      </c>
      <c r="I6" s="3" t="s">
        <v>2</v>
      </c>
      <c r="J6" t="s">
        <v>12</v>
      </c>
    </row>
    <row r="7" spans="1:12" ht="64.95" customHeight="1" thickTop="1" thickBot="1" x14ac:dyDescent="0.35">
      <c r="A7" s="13" t="s">
        <v>18</v>
      </c>
      <c r="B7" s="14" t="s">
        <v>14</v>
      </c>
      <c r="C7" s="14" t="s">
        <v>15</v>
      </c>
      <c r="D7" s="15" t="s">
        <v>16</v>
      </c>
      <c r="I7" s="13" t="s">
        <v>17</v>
      </c>
      <c r="J7" s="14" t="s">
        <v>14</v>
      </c>
      <c r="K7" s="14" t="s">
        <v>15</v>
      </c>
      <c r="L7" s="15" t="s">
        <v>16</v>
      </c>
    </row>
    <row r="8" spans="1:12" ht="15" thickTop="1" x14ac:dyDescent="0.3">
      <c r="A8" s="3" t="s">
        <v>2</v>
      </c>
      <c r="B8" t="s">
        <v>10</v>
      </c>
      <c r="C8" t="s">
        <v>9</v>
      </c>
      <c r="D8" t="s">
        <v>11</v>
      </c>
      <c r="I8" s="3" t="s">
        <v>1</v>
      </c>
      <c r="J8" t="s">
        <v>8</v>
      </c>
      <c r="K8" t="s">
        <v>9</v>
      </c>
      <c r="L8" t="s">
        <v>11</v>
      </c>
    </row>
    <row r="9" spans="1:12" x14ac:dyDescent="0.3">
      <c r="A9" t="s">
        <v>6</v>
      </c>
      <c r="B9" s="5">
        <v>7034</v>
      </c>
      <c r="C9" s="5">
        <v>878</v>
      </c>
      <c r="D9" s="6">
        <v>0.12482229172590276</v>
      </c>
      <c r="I9">
        <v>1</v>
      </c>
      <c r="J9" s="5">
        <v>7034</v>
      </c>
      <c r="K9" s="5">
        <v>73</v>
      </c>
      <c r="L9" s="6">
        <v>5.1890816036394657E-2</v>
      </c>
    </row>
    <row r="10" spans="1:12" x14ac:dyDescent="0.3">
      <c r="A10" t="s">
        <v>7</v>
      </c>
      <c r="B10" s="5">
        <v>7034</v>
      </c>
      <c r="C10" s="5">
        <v>878</v>
      </c>
      <c r="D10" s="6">
        <v>0.12482229172590276</v>
      </c>
      <c r="I10">
        <v>2</v>
      </c>
      <c r="J10" s="5">
        <v>7034</v>
      </c>
      <c r="K10" s="5">
        <v>118</v>
      </c>
      <c r="L10" s="6">
        <v>8.3878305373898218E-2</v>
      </c>
    </row>
    <row r="11" spans="1:12" x14ac:dyDescent="0.3">
      <c r="I11">
        <v>3</v>
      </c>
      <c r="J11" s="5">
        <v>7034</v>
      </c>
      <c r="K11" s="5">
        <v>117</v>
      </c>
      <c r="L11" s="6">
        <v>8.3167472277509244E-2</v>
      </c>
    </row>
    <row r="12" spans="1:12" x14ac:dyDescent="0.3">
      <c r="I12">
        <v>4</v>
      </c>
      <c r="J12" s="5">
        <v>7034</v>
      </c>
      <c r="K12" s="5">
        <v>374</v>
      </c>
      <c r="L12" s="6">
        <v>0.26585157804947401</v>
      </c>
    </row>
    <row r="13" spans="1:12" x14ac:dyDescent="0.3">
      <c r="I13">
        <v>5</v>
      </c>
      <c r="J13" s="5">
        <v>7034</v>
      </c>
      <c r="K13" s="5">
        <v>196</v>
      </c>
      <c r="L13" s="6">
        <v>0.13932328689223772</v>
      </c>
    </row>
    <row r="14" spans="1:12" x14ac:dyDescent="0.3">
      <c r="I14" s="9" t="s">
        <v>13</v>
      </c>
      <c r="J14" s="7">
        <f>GETPIVOTDATA("Suma de denominador",$I$8,"Mes",1)</f>
        <v>7034</v>
      </c>
      <c r="K14" s="7">
        <f>SUM(K9:K13)</f>
        <v>878</v>
      </c>
      <c r="L14" s="8">
        <f>K14/J14</f>
        <v>0.12482229172590276</v>
      </c>
    </row>
  </sheetData>
  <mergeCells count="1">
    <mergeCell ref="D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E6" sqref="E6"/>
    </sheetView>
  </sheetViews>
  <sheetFormatPr baseColWidth="10" defaultRowHeight="14.4" x14ac:dyDescent="0.3"/>
  <cols>
    <col min="1" max="1" width="8.6640625" customWidth="1"/>
    <col min="2" max="2" width="9" customWidth="1"/>
    <col min="3" max="3" width="12.88671875" customWidth="1"/>
    <col min="5" max="5" width="14.33203125" customWidth="1"/>
    <col min="6" max="6" width="12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">
      <c r="A2" s="1">
        <v>2026</v>
      </c>
      <c r="B2" s="1">
        <v>1</v>
      </c>
      <c r="C2" s="1" t="s">
        <v>6</v>
      </c>
      <c r="D2" s="1">
        <v>9</v>
      </c>
      <c r="E2" s="1">
        <v>7034</v>
      </c>
      <c r="F2" s="1">
        <v>73</v>
      </c>
    </row>
    <row r="3" spans="1:6" x14ac:dyDescent="0.3">
      <c r="A3" s="1">
        <v>2026</v>
      </c>
      <c r="B3" s="1">
        <v>2</v>
      </c>
      <c r="C3" s="1" t="s">
        <v>6</v>
      </c>
      <c r="D3" s="1">
        <v>9</v>
      </c>
      <c r="E3" s="1">
        <v>7034</v>
      </c>
      <c r="F3" s="1">
        <v>118</v>
      </c>
    </row>
    <row r="4" spans="1:6" x14ac:dyDescent="0.3">
      <c r="A4" s="1">
        <v>2026</v>
      </c>
      <c r="B4" s="1">
        <v>3</v>
      </c>
      <c r="C4" s="1" t="s">
        <v>6</v>
      </c>
      <c r="D4" s="1">
        <v>9</v>
      </c>
      <c r="E4" s="1">
        <v>7034</v>
      </c>
      <c r="F4" s="1">
        <v>117</v>
      </c>
    </row>
    <row r="5" spans="1:6" x14ac:dyDescent="0.3">
      <c r="A5" s="1">
        <v>2026</v>
      </c>
      <c r="B5" s="1">
        <v>4</v>
      </c>
      <c r="C5" s="1" t="s">
        <v>6</v>
      </c>
      <c r="D5" s="1">
        <v>9</v>
      </c>
      <c r="E5" s="1">
        <v>7034</v>
      </c>
      <c r="F5" s="1">
        <v>374</v>
      </c>
    </row>
    <row r="6" spans="1:6" x14ac:dyDescent="0.3">
      <c r="A6" s="1">
        <v>2026</v>
      </c>
      <c r="B6" s="1">
        <v>5</v>
      </c>
      <c r="C6" s="1" t="s">
        <v>6</v>
      </c>
      <c r="D6" s="1">
        <v>9</v>
      </c>
      <c r="E6" s="1">
        <v>7034</v>
      </c>
      <c r="F6" s="1">
        <v>196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TuSoft</cp:lastModifiedBy>
  <dcterms:modified xsi:type="dcterms:W3CDTF">2026-05-18T17:32:46Z</dcterms:modified>
</cp:coreProperties>
</file>